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аза" sheetId="1" state="visible" r:id="rId1"/>
  </sheets>
  <definedNames>
    <definedName name="_xlnm.Print_Titles" localSheetId="0">'База'!$1:$6</definedName>
    <definedName name="_xlnm.Print_Area" localSheetId="0">'База'!$B$1:$R$17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6">
    <font>
      <name val="Aptos Narrow"/>
      <family val="2"/>
      <color theme="1"/>
      <sz val="11"/>
      <scheme val="minor"/>
    </font>
    <font>
      <name val="Aptos Narrow"/>
      <charset val="204"/>
      <family val="2"/>
      <color theme="1"/>
      <sz val="11"/>
      <scheme val="minor"/>
    </font>
    <font>
      <name val="Cambria"/>
      <charset val="204"/>
      <family val="1"/>
      <sz val="12"/>
    </font>
    <font>
      <name val="Times New Roman"/>
      <charset val="204"/>
      <family val="1"/>
      <sz val="12"/>
    </font>
    <font>
      <name val="Aptos Narrow"/>
      <charset val="204"/>
      <family val="2"/>
      <color theme="1"/>
      <sz val="12"/>
      <scheme val="minor"/>
    </font>
    <font>
      <name val="Times New Roman"/>
      <charset val="204"/>
      <family val="1"/>
      <color theme="1"/>
      <sz val="12"/>
    </font>
  </fonts>
  <fills count="8">
    <fill>
      <patternFill/>
    </fill>
    <fill>
      <patternFill patternType="gray125"/>
    </fill>
    <fill>
      <patternFill patternType="solid">
        <fgColor theme="2" tint="-0.09997863704336681"/>
        <bgColor theme="2" tint="-0.0999786370433668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5999938962981048"/>
        <bgColor theme="4" tint="0.5999938962981048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2" borderId="1" applyAlignment="1" applyProtection="1" pivotButton="0" quotePrefix="0" xfId="1">
      <alignment horizontal="center" vertical="center" wrapText="1"/>
      <protection locked="1" hidden="1"/>
    </xf>
    <xf numFmtId="0" fontId="3" fillId="2" borderId="1" applyAlignment="1" applyProtection="1" pivotButton="0" quotePrefix="0" xfId="1">
      <alignment horizontal="center" vertical="center" wrapText="1"/>
      <protection locked="1" hidden="1"/>
    </xf>
    <xf numFmtId="0" fontId="4" fillId="2" borderId="1" applyAlignment="1" applyProtection="1" pivotButton="0" quotePrefix="0" xfId="0">
      <alignment horizontal="center" vertical="center" wrapText="1"/>
      <protection locked="1" hidden="1"/>
    </xf>
    <xf numFmtId="0" fontId="2" fillId="0" borderId="1" applyAlignment="1" applyProtection="1" pivotButton="0" quotePrefix="0" xfId="1">
      <alignment horizontal="center" vertical="center" wrapText="1"/>
      <protection locked="1" hidden="1"/>
    </xf>
    <xf numFmtId="0" fontId="3" fillId="0" borderId="1" applyAlignment="1" applyProtection="1" pivotButton="0" quotePrefix="0" xfId="1">
      <alignment horizontal="center" vertical="center" wrapText="1"/>
      <protection locked="1" hidden="1"/>
    </xf>
    <xf numFmtId="0" fontId="2" fillId="3" borderId="1" applyAlignment="1" applyProtection="1" pivotButton="0" quotePrefix="0" xfId="1">
      <alignment horizontal="center" vertical="center" wrapText="1"/>
      <protection locked="0" hidden="0"/>
    </xf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3" fillId="3" borderId="1" applyAlignment="1" applyProtection="1" pivotButton="0" quotePrefix="0" xfId="1">
      <alignment horizontal="center" vertical="center" wrapText="1"/>
      <protection locked="0" hidden="0"/>
    </xf>
    <xf numFmtId="1" fontId="3" fillId="3" borderId="1" applyAlignment="1" applyProtection="1" pivotButton="0" quotePrefix="0" xfId="1">
      <alignment horizontal="center" vertical="center" wrapText="1"/>
      <protection locked="1" hidden="1"/>
    </xf>
    <xf numFmtId="164" fontId="2" fillId="3" borderId="1" applyAlignment="1" applyProtection="1" pivotButton="0" quotePrefix="0" xfId="1">
      <alignment horizontal="center" vertical="center" wrapText="1"/>
      <protection locked="1" hidden="1"/>
    </xf>
    <xf numFmtId="2" fontId="2" fillId="3" borderId="1" applyAlignment="1" applyProtection="1" pivotButton="0" quotePrefix="0" xfId="1">
      <alignment horizontal="center" vertical="center" wrapText="1"/>
      <protection locked="0" hidden="0"/>
    </xf>
    <xf numFmtId="2" fontId="3" fillId="3" borderId="1" applyAlignment="1" applyProtection="1" pivotButton="0" quotePrefix="0" xfId="1">
      <alignment horizontal="center" vertical="center" wrapText="1"/>
      <protection locked="0" hidden="0"/>
    </xf>
    <xf numFmtId="165" fontId="3" fillId="0" borderId="1" applyAlignment="1" applyProtection="1" pivotButton="0" quotePrefix="0" xfId="1">
      <alignment horizontal="center" vertical="center" wrapText="1"/>
      <protection locked="1" hidden="1"/>
    </xf>
    <xf numFmtId="2" fontId="3" fillId="0" borderId="1" applyAlignment="1" applyProtection="1" pivotButton="0" quotePrefix="0" xfId="1">
      <alignment horizontal="center" vertical="center" wrapText="1"/>
      <protection locked="1" hidden="1"/>
    </xf>
    <xf numFmtId="2" fontId="4" fillId="0" borderId="1" applyAlignment="1" applyProtection="1" pivotButton="0" quotePrefix="0" xfId="0">
      <alignment horizontal="center" vertical="center"/>
      <protection locked="1" hidden="1"/>
    </xf>
    <xf numFmtId="165" fontId="4" fillId="0" borderId="1" applyAlignment="1" applyProtection="1" pivotButton="0" quotePrefix="0" xfId="0">
      <alignment horizontal="center" vertical="center"/>
      <protection locked="1" hidden="1"/>
    </xf>
    <xf numFmtId="0" fontId="3" fillId="4" borderId="1" applyAlignment="1" applyProtection="1" pivotButton="0" quotePrefix="0" xfId="1">
      <alignment horizontal="center" vertical="center" wrapText="1"/>
      <protection locked="0" hidden="0"/>
    </xf>
    <xf numFmtId="0" fontId="2" fillId="0" borderId="1" applyAlignment="1" applyProtection="1" pivotButton="0" quotePrefix="0" xfId="1">
      <alignment horizontal="center" vertical="center" wrapText="1"/>
      <protection locked="0" hidden="0"/>
    </xf>
    <xf numFmtId="0" fontId="2" fillId="0" borderId="1" applyAlignment="1" applyProtection="1" pivotButton="0" quotePrefix="0" xfId="1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1" hidden="1"/>
    </xf>
    <xf numFmtId="165" fontId="5" fillId="0" borderId="1" applyAlignment="1" applyProtection="1" pivotButton="0" quotePrefix="0" xfId="0">
      <alignment horizontal="center" vertical="center" wrapText="1"/>
      <protection locked="1" hidden="1"/>
    </xf>
    <xf numFmtId="0" fontId="2" fillId="0" borderId="1" applyAlignment="1" applyProtection="1" pivotButton="0" quotePrefix="0" xfId="1">
      <alignment horizontal="center" vertical="center" wrapText="1"/>
      <protection locked="1" hidden="1"/>
    </xf>
    <xf numFmtId="2" fontId="2" fillId="0" borderId="1" applyAlignment="1" applyProtection="1" pivotButton="0" quotePrefix="0" xfId="1">
      <alignment horizontal="center" vertical="center" wrapText="1"/>
      <protection locked="1" hidden="1"/>
    </xf>
    <xf numFmtId="0" fontId="0" fillId="0" borderId="0" applyProtection="1" pivotButton="0" quotePrefix="0" xfId="0">
      <protection locked="0" hidden="0"/>
    </xf>
    <xf numFmtId="0" fontId="0" fillId="0" borderId="1" applyAlignment="1" pivotButton="0" quotePrefix="0" xfId="0">
      <alignment horizontal="center"/>
    </xf>
    <xf numFmtId="0" fontId="2" fillId="5" borderId="1" applyAlignment="1" applyProtection="1" pivotButton="0" quotePrefix="0" xfId="1">
      <alignment horizontal="center" vertical="center" wrapText="1"/>
      <protection locked="0" hidden="0"/>
    </xf>
    <xf numFmtId="0" fontId="5" fillId="5" borderId="1" applyAlignment="1" applyProtection="1" pivotButton="0" quotePrefix="0" xfId="0">
      <alignment horizontal="center" vertical="center" wrapText="1"/>
      <protection locked="0" hidden="0"/>
    </xf>
    <xf numFmtId="0" fontId="3" fillId="5" borderId="1" applyAlignment="1" applyProtection="1" pivotButton="0" quotePrefix="0" xfId="1">
      <alignment horizontal="center" vertical="center" wrapText="1"/>
      <protection locked="0" hidden="0"/>
    </xf>
    <xf numFmtId="1" fontId="3" fillId="5" borderId="1" applyAlignment="1" applyProtection="1" pivotButton="0" quotePrefix="0" xfId="1">
      <alignment horizontal="center" vertical="center" wrapText="1"/>
      <protection locked="1" hidden="1"/>
    </xf>
    <xf numFmtId="164" fontId="2" fillId="0" borderId="1" applyAlignment="1" applyProtection="1" pivotButton="0" quotePrefix="0" xfId="1">
      <alignment horizontal="center" vertical="center" wrapText="1"/>
      <protection locked="1" hidden="1"/>
    </xf>
    <xf numFmtId="2" fontId="2" fillId="5" borderId="1" applyAlignment="1" applyProtection="1" pivotButton="0" quotePrefix="0" xfId="1">
      <alignment horizontal="center" vertical="center" wrapText="1"/>
      <protection locked="0" hidden="0"/>
    </xf>
    <xf numFmtId="2" fontId="3" fillId="5" borderId="1" applyAlignment="1" applyProtection="1" pivotButton="0" quotePrefix="0" xfId="1">
      <alignment horizontal="center" vertical="center" wrapText="1"/>
      <protection locked="0" hidden="0"/>
    </xf>
    <xf numFmtId="0" fontId="5" fillId="6" borderId="1" applyAlignment="1" applyProtection="1" pivotButton="0" quotePrefix="0" xfId="0">
      <alignment horizontal="center" vertical="center" wrapText="1"/>
      <protection locked="0" hidden="0"/>
    </xf>
    <xf numFmtId="0" fontId="3" fillId="7" borderId="1" applyAlignment="1" applyProtection="1" pivotButton="0" quotePrefix="0" xfId="1">
      <alignment horizontal="center" vertical="center" wrapText="1"/>
      <protection locked="0" hidden="0"/>
    </xf>
    <xf numFmtId="0" fontId="3" fillId="6" borderId="1" applyAlignment="1" applyProtection="1" pivotButton="0" quotePrefix="0" xfId="1">
      <alignment horizontal="center" vertical="center" wrapText="1"/>
      <protection locked="0" hidden="0"/>
    </xf>
    <xf numFmtId="1" fontId="3" fillId="6" borderId="1" applyAlignment="1" applyProtection="1" pivotButton="0" quotePrefix="0" xfId="1">
      <alignment horizontal="center" vertical="center" wrapText="1"/>
      <protection locked="1" hidden="1"/>
    </xf>
    <xf numFmtId="0" fontId="2" fillId="6" borderId="1" applyAlignment="1" applyProtection="1" pivotButton="0" quotePrefix="0" xfId="1">
      <alignment horizontal="center" vertical="center" wrapText="1"/>
      <protection locked="0" hidden="0"/>
    </xf>
    <xf numFmtId="2" fontId="3" fillId="6" borderId="1" applyAlignment="1" applyProtection="1" pivotButton="0" quotePrefix="0" xfId="1">
      <alignment horizontal="center" vertical="center" wrapText="1"/>
      <protection locked="0" hidden="0"/>
    </xf>
    <xf numFmtId="0" fontId="0" fillId="0" borderId="5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</cellXfs>
  <cellStyles count="2">
    <cellStyle name="Обычный" xfId="0" builtinId="0"/>
    <cellStyle name="Обычный 4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7"/>
  <sheetViews>
    <sheetView tabSelected="1" zoomScale="70" zoomScaleNormal="70" workbookViewId="0">
      <selection activeCell="G32" sqref="G32"/>
    </sheetView>
  </sheetViews>
  <sheetFormatPr baseColWidth="8" defaultRowHeight="15"/>
  <cols>
    <col width="13" customWidth="1" min="2" max="2"/>
    <col width="24.7109375" customWidth="1" min="3" max="3"/>
    <col width="14.140625" customWidth="1" min="4" max="4"/>
    <col width="12" customWidth="1" min="6" max="6"/>
    <col width="13.28515625" customWidth="1" min="7" max="7"/>
    <col width="9.140625" customWidth="1" min="8" max="8"/>
    <col width="14.5703125" customWidth="1" min="9" max="9"/>
    <col width="12.140625" customWidth="1" min="10" max="10"/>
    <col width="16.7109375" customWidth="1" min="11" max="11"/>
    <col width="9.140625" customWidth="1" min="12" max="12"/>
    <col width="10.7109375" customWidth="1" min="13" max="13"/>
    <col width="11.140625" customWidth="1" min="14" max="14"/>
    <col width="22.140625" customWidth="1" min="15" max="15"/>
    <col width="16.42578125" customWidth="1" min="16" max="16"/>
    <col width="18.7109375" customWidth="1" min="17" max="17"/>
    <col width="16.42578125" customWidth="1" min="18" max="18"/>
  </cols>
  <sheetData>
    <row r="1">
      <c r="B1" s="1" t="inlineStr">
        <is>
          <t>Расчёт системы АКЗ</t>
        </is>
      </c>
    </row>
    <row r="2">
      <c r="B2" t="inlineStr">
        <is>
          <t>Объект: Печатный тест</t>
        </is>
      </c>
      <c r="E2" t="inlineStr">
        <is>
          <t>Заказчик: Заказчик</t>
        </is>
      </c>
      <c r="M2" t="inlineStr">
        <is>
          <t>Площадь: 100.00 м²</t>
        </is>
      </c>
    </row>
    <row r="3" ht="30.75" customHeight="1">
      <c r="B3" s="2" t="inlineStr">
        <is>
          <t>Площадь</t>
        </is>
      </c>
      <c r="C3" s="2" t="inlineStr">
        <is>
          <t>Система покрытия</t>
        </is>
      </c>
      <c r="D3" s="2" t="inlineStr">
        <is>
          <t>Связующее</t>
        </is>
      </c>
      <c r="E3" s="2" t="inlineStr">
        <is>
          <t>Цвет</t>
        </is>
      </c>
      <c r="F3" s="2" t="inlineStr">
        <is>
          <t>Плотность</t>
        </is>
      </c>
      <c r="G3" s="2" t="inlineStr">
        <is>
          <t>Сухой остаток</t>
        </is>
      </c>
      <c r="H3" s="2" t="inlineStr">
        <is>
          <t>Толщина пленки</t>
        </is>
      </c>
      <c r="I3" s="41" t="n"/>
      <c r="J3" s="2" t="inlineStr">
        <is>
          <t>Укрывистость</t>
        </is>
      </c>
      <c r="K3" s="42" t="n"/>
      <c r="L3" s="41" t="n"/>
      <c r="M3" s="2" t="inlineStr">
        <is>
          <t>Цена с НДС за кг</t>
        </is>
      </c>
      <c r="N3" s="3" t="inlineStr">
        <is>
          <t>Цена с НДС за литр</t>
        </is>
      </c>
      <c r="O3" s="3" t="inlineStr">
        <is>
          <t>Теоретический расход</t>
        </is>
      </c>
      <c r="P3" s="3" t="inlineStr">
        <is>
          <t>Теоретический рассход</t>
        </is>
      </c>
      <c r="Q3" s="3" t="inlineStr">
        <is>
          <t>Расход с учетом потерь</t>
        </is>
      </c>
      <c r="R3" s="4" t="inlineStr">
        <is>
          <t>Стоимость с учетом потерь %, с НДС</t>
        </is>
      </c>
    </row>
    <row r="4">
      <c r="B4" s="43" t="n"/>
      <c r="C4" s="43" t="n"/>
      <c r="D4" s="43" t="n"/>
      <c r="E4" s="43" t="n"/>
      <c r="F4" s="43" t="n"/>
      <c r="G4" s="43" t="n"/>
      <c r="H4" s="2" t="inlineStr">
        <is>
          <t>мокрой</t>
        </is>
      </c>
      <c r="I4" s="2" t="inlineStr">
        <is>
          <t>сухой</t>
        </is>
      </c>
      <c r="J4" s="2" t="inlineStr">
        <is>
          <t>теоретич.</t>
        </is>
      </c>
      <c r="K4" s="2" t="inlineStr">
        <is>
          <t>потери</t>
        </is>
      </c>
      <c r="L4" s="2" t="inlineStr">
        <is>
          <t>практ</t>
        </is>
      </c>
      <c r="M4" s="43" t="n"/>
      <c r="N4" s="43" t="n"/>
      <c r="O4" s="43" t="n"/>
      <c r="P4" s="43" t="n"/>
      <c r="Q4" s="43" t="n"/>
      <c r="R4" s="43" t="n"/>
    </row>
    <row r="5"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  <c r="O5" s="44" t="n"/>
      <c r="P5" s="44" t="n"/>
      <c r="Q5" s="44" t="n"/>
      <c r="R5" s="44" t="n"/>
    </row>
    <row r="6" ht="15.75" customHeight="1">
      <c r="B6" s="24" t="inlineStr">
        <is>
          <t>м2</t>
        </is>
      </c>
      <c r="C6" s="24" t="inlineStr">
        <is>
          <t>слой</t>
        </is>
      </c>
      <c r="D6" s="24" t="n"/>
      <c r="E6" s="24" t="inlineStr">
        <is>
          <t>RAL</t>
        </is>
      </c>
      <c r="F6" s="24" t="inlineStr">
        <is>
          <t>кг/л</t>
        </is>
      </c>
      <c r="G6" s="24" t="inlineStr">
        <is>
          <t>%</t>
        </is>
      </c>
      <c r="H6" s="24" t="inlineStr">
        <is>
          <t>мкм</t>
        </is>
      </c>
      <c r="I6" s="24" t="inlineStr">
        <is>
          <t>мкм</t>
        </is>
      </c>
      <c r="J6" s="24" t="inlineStr">
        <is>
          <t>м2/л</t>
        </is>
      </c>
      <c r="K6" s="24" t="inlineStr">
        <is>
          <t>%</t>
        </is>
      </c>
      <c r="L6" s="24" t="inlineStr">
        <is>
          <t>м2/л</t>
        </is>
      </c>
      <c r="M6" s="24" t="inlineStr">
        <is>
          <t>Руб</t>
        </is>
      </c>
      <c r="N6" s="6" t="inlineStr">
        <is>
          <t>Руб</t>
        </is>
      </c>
      <c r="O6" s="6" t="inlineStr">
        <is>
          <t>л/м2</t>
        </is>
      </c>
      <c r="P6" s="6" t="inlineStr">
        <is>
          <t>кг/м2</t>
        </is>
      </c>
      <c r="Q6" s="6" t="inlineStr">
        <is>
          <t>кг/м2</t>
        </is>
      </c>
      <c r="R6" s="24" t="inlineStr">
        <is>
          <t>Руб/м2</t>
        </is>
      </c>
    </row>
    <row r="7" ht="40.15" customHeight="1">
      <c r="B7" s="7" t="n">
        <v>100</v>
      </c>
      <c r="C7" s="8" t="inlineStr">
        <is>
          <t>Blank Слой 1</t>
        </is>
      </c>
      <c r="D7" s="8" t="inlineStr">
        <is>
          <t>эпоксид</t>
        </is>
      </c>
      <c r="E7" s="9" t="inlineStr">
        <is>
          <t>-</t>
        </is>
      </c>
      <c r="F7" s="9" t="n">
        <v>1.4</v>
      </c>
      <c r="G7" s="9" t="n">
        <v>70</v>
      </c>
      <c r="H7" s="10" t="n">
        <v>157.1428571428571</v>
      </c>
      <c r="I7" s="9" t="n">
        <v>110</v>
      </c>
      <c r="J7" s="11" t="n">
        <v>6.363636363636364</v>
      </c>
      <c r="K7" s="7" t="n">
        <v>5</v>
      </c>
      <c r="L7" s="11" t="n">
        <v>6.045454545454546</v>
      </c>
      <c r="M7" s="12" t="n">
        <v>101</v>
      </c>
      <c r="N7" s="13" t="n">
        <v>141</v>
      </c>
      <c r="O7" s="14" t="n">
        <v>0.1571428571428571</v>
      </c>
      <c r="P7" s="15" t="n">
        <v>0.22</v>
      </c>
      <c r="Q7" s="16" t="n">
        <v>0.231578947368421</v>
      </c>
      <c r="R7" s="17" t="n">
        <v>23.32330827067669</v>
      </c>
      <c r="U7">
        <f>200/10/73*1.4*1.67</f>
        <v/>
      </c>
    </row>
    <row r="8" ht="29.25" customHeight="1">
      <c r="B8" s="7" t="n">
        <v>100</v>
      </c>
      <c r="C8" s="8" t="inlineStr">
        <is>
          <t>Blank Слой 2</t>
        </is>
      </c>
      <c r="D8" s="8" t="inlineStr">
        <is>
          <t>эпоксид</t>
        </is>
      </c>
      <c r="E8" s="18" t="inlineStr">
        <is>
          <t>-</t>
        </is>
      </c>
      <c r="F8" s="9" t="n">
        <v>1.4</v>
      </c>
      <c r="G8" s="9" t="n">
        <v>70</v>
      </c>
      <c r="H8" s="10" t="n">
        <v>171.4285714285714</v>
      </c>
      <c r="I8" s="7" t="n">
        <v>120</v>
      </c>
      <c r="J8" s="11" t="n">
        <v>5.833333333333333</v>
      </c>
      <c r="K8" s="7" t="n">
        <v>5</v>
      </c>
      <c r="L8" s="11" t="n">
        <v>5.541666666666667</v>
      </c>
      <c r="M8" s="12" t="n">
        <v>102</v>
      </c>
      <c r="N8" s="13" t="n">
        <v>142</v>
      </c>
      <c r="O8" s="14" t="n">
        <v>0.1714285714285714</v>
      </c>
      <c r="P8" s="15" t="n">
        <v>0.24</v>
      </c>
      <c r="Q8" s="16" t="n">
        <v>0.2526315789473684</v>
      </c>
      <c r="R8" s="17" t="n">
        <v>25.62406015037594</v>
      </c>
    </row>
    <row r="9" ht="29.25" customHeight="1">
      <c r="B9" s="7" t="n">
        <v>100</v>
      </c>
      <c r="C9" s="8" t="inlineStr">
        <is>
          <t>Blank Слой 3</t>
        </is>
      </c>
      <c r="D9" s="8" t="inlineStr">
        <is>
          <t>эпоксид</t>
        </is>
      </c>
      <c r="E9" s="18" t="inlineStr">
        <is>
          <t>-</t>
        </is>
      </c>
      <c r="F9" s="9" t="n">
        <v>1.4</v>
      </c>
      <c r="G9" s="9" t="n">
        <v>70</v>
      </c>
      <c r="H9" s="10" t="n">
        <v>185.7142857142857</v>
      </c>
      <c r="I9" s="7" t="n">
        <v>130</v>
      </c>
      <c r="J9" s="11" t="n">
        <v>5.384615384615384</v>
      </c>
      <c r="K9" s="7" t="n">
        <v>5</v>
      </c>
      <c r="L9" s="11" t="n">
        <v>5.115384615384616</v>
      </c>
      <c r="M9" s="12" t="n">
        <v>103</v>
      </c>
      <c r="N9" s="13" t="n">
        <v>143</v>
      </c>
      <c r="O9" s="14" t="n">
        <v>0.1857142857142857</v>
      </c>
      <c r="P9" s="15" t="n">
        <v>0.26</v>
      </c>
      <c r="Q9" s="16" t="n">
        <v>0.2736842105263158</v>
      </c>
      <c r="R9" s="17" t="n">
        <v>27.95488721804511</v>
      </c>
    </row>
    <row r="10" ht="29.25" customHeight="1">
      <c r="B10" s="7" t="n">
        <v>100</v>
      </c>
      <c r="C10" s="8" t="inlineStr">
        <is>
          <t>Blank Слой 4</t>
        </is>
      </c>
      <c r="D10" s="8" t="inlineStr">
        <is>
          <t>эпоксид</t>
        </is>
      </c>
      <c r="E10" s="18" t="inlineStr">
        <is>
          <t>-</t>
        </is>
      </c>
      <c r="F10" s="9" t="n">
        <v>1.4</v>
      </c>
      <c r="G10" s="9" t="n">
        <v>70</v>
      </c>
      <c r="H10" s="10" t="n">
        <v>200</v>
      </c>
      <c r="I10" s="7" t="n">
        <v>140</v>
      </c>
      <c r="J10" s="11" t="n">
        <v>5</v>
      </c>
      <c r="K10" s="7" t="n">
        <v>5</v>
      </c>
      <c r="L10" s="11" t="n">
        <v>4.75</v>
      </c>
      <c r="M10" s="12" t="n">
        <v>104</v>
      </c>
      <c r="N10" s="13" t="n">
        <v>144</v>
      </c>
      <c r="O10" s="14" t="n">
        <v>0.2</v>
      </c>
      <c r="P10" s="15" t="n">
        <v>0.28</v>
      </c>
      <c r="Q10" s="16" t="n">
        <v>0.2947368421052631</v>
      </c>
      <c r="R10" s="17" t="n">
        <v>30.31578947368421</v>
      </c>
    </row>
    <row r="11" ht="29.25" customHeight="1">
      <c r="B11" s="7" t="n">
        <v>100</v>
      </c>
      <c r="C11" s="8" t="inlineStr">
        <is>
          <t>Blank Слой 5</t>
        </is>
      </c>
      <c r="D11" s="8" t="inlineStr">
        <is>
          <t>эпоксид</t>
        </is>
      </c>
      <c r="E11" s="18" t="inlineStr">
        <is>
          <t>-</t>
        </is>
      </c>
      <c r="F11" s="9" t="n">
        <v>1.4</v>
      </c>
      <c r="G11" s="9" t="n">
        <v>70</v>
      </c>
      <c r="H11" s="10" t="n">
        <v>214.2857142857143</v>
      </c>
      <c r="I11" s="7" t="n">
        <v>150</v>
      </c>
      <c r="J11" s="11" t="n">
        <v>4.666666666666667</v>
      </c>
      <c r="K11" s="7" t="n">
        <v>5</v>
      </c>
      <c r="L11" s="11" t="n">
        <v>4.433333333333334</v>
      </c>
      <c r="M11" s="12" t="n">
        <v>105</v>
      </c>
      <c r="N11" s="13" t="n">
        <v>145</v>
      </c>
      <c r="O11" s="14" t="n">
        <v>0.2142857142857143</v>
      </c>
      <c r="P11" s="15" t="n">
        <v>0.3</v>
      </c>
      <c r="Q11" s="16" t="n">
        <v>0.3157894736842105</v>
      </c>
      <c r="R11" s="17" t="n">
        <v>32.70676691729323</v>
      </c>
    </row>
    <row r="12" ht="15.75" customHeight="1">
      <c r="B12" s="20" t="n"/>
      <c r="C12" s="45" t="n"/>
      <c r="D12" s="45" t="n"/>
      <c r="E12" s="46" t="n"/>
      <c r="F12" s="20" t="n"/>
      <c r="G12" s="20" t="n"/>
      <c r="H12" s="45" t="n"/>
      <c r="I12" s="45" t="n"/>
      <c r="J12" s="45" t="n"/>
      <c r="K12" s="45" t="n"/>
      <c r="L12" s="46" t="n"/>
      <c r="M12" s="21" t="n"/>
      <c r="N12" s="22" t="n"/>
      <c r="O12" s="23" t="n"/>
      <c r="P12" s="14" t="n"/>
      <c r="Q12" s="14" t="n"/>
      <c r="R12" s="17" t="n"/>
    </row>
    <row r="13" ht="15.75" customHeight="1">
      <c r="B13" s="20" t="n"/>
      <c r="C13" s="45" t="n"/>
      <c r="D13" s="45" t="n"/>
      <c r="E13" s="46" t="n"/>
      <c r="F13" s="20" t="n"/>
      <c r="G13" s="20" t="n"/>
      <c r="H13" s="45" t="n"/>
      <c r="I13" s="45" t="n"/>
      <c r="J13" s="45" t="n"/>
      <c r="K13" s="45" t="n"/>
      <c r="L13" s="46" t="n"/>
      <c r="M13" s="21" t="n"/>
      <c r="N13" s="22" t="n"/>
      <c r="O13" s="23" t="n"/>
      <c r="P13" s="14" t="n"/>
      <c r="Q13" s="14" t="n"/>
      <c r="R13" s="17" t="n"/>
    </row>
    <row r="14" ht="15.75" customHeight="1">
      <c r="B14" s="20" t="n"/>
      <c r="C14" s="45" t="n"/>
      <c r="D14" s="45" t="n"/>
      <c r="E14" s="46" t="n"/>
      <c r="F14" s="20" t="n"/>
      <c r="G14" s="20" t="n"/>
      <c r="H14" s="45" t="n"/>
      <c r="I14" s="45" t="n"/>
      <c r="J14" s="45" t="n"/>
      <c r="K14" s="45" t="n"/>
      <c r="L14" s="46" t="n"/>
      <c r="M14" s="21" t="n"/>
      <c r="N14" s="22" t="n"/>
      <c r="O14" s="23" t="n"/>
      <c r="P14" s="14" t="n"/>
      <c r="Q14" s="14" t="n"/>
      <c r="R14" s="17" t="n"/>
    </row>
    <row r="15"/>
    <row r="16"/>
    <row r="17" ht="15.75" customHeight="1">
      <c r="B17" s="24" t="n"/>
      <c r="C17" s="24" t="inlineStr">
        <is>
          <t>Толщина покрытия (мкм)</t>
        </is>
      </c>
      <c r="D17" s="42" t="n"/>
      <c r="E17" s="42" t="n"/>
      <c r="F17" s="42" t="n"/>
      <c r="G17" s="42" t="n"/>
      <c r="H17" s="41" t="n"/>
      <c r="I17" s="24" t="n">
        <v>650</v>
      </c>
      <c r="J17" s="24" t="inlineStr">
        <is>
          <t>Общее количество ЛКМ</t>
        </is>
      </c>
      <c r="K17" s="42" t="n"/>
      <c r="L17" s="41" t="n"/>
      <c r="M17" s="24" t="n"/>
      <c r="N17" s="24" t="n"/>
      <c r="O17" s="24" t="n">
        <v>0.9285714285714286</v>
      </c>
      <c r="P17" s="25" t="n">
        <v>1.3</v>
      </c>
      <c r="Q17" s="16" t="n">
        <v>1.368421052631579</v>
      </c>
      <c r="R17" s="17" t="n">
        <v>139.9248120300752</v>
      </c>
    </row>
    <row r="20" ht="15.75" customHeight="1"/>
    <row r="21" ht="31.5" customHeight="1"/>
    <row r="22" ht="15.75" customHeight="1"/>
    <row r="23" ht="15.75" customHeight="1"/>
    <row r="24" ht="15.75" customHeight="1"/>
    <row r="25" ht="15.75" customHeight="1"/>
  </sheetData>
  <mergeCells count="26">
    <mergeCell ref="M3:M5"/>
    <mergeCell ref="G13:L13"/>
    <mergeCell ref="P3:P5"/>
    <mergeCell ref="R3:R5"/>
    <mergeCell ref="J4:J5"/>
    <mergeCell ref="C3:C5"/>
    <mergeCell ref="E3:E5"/>
    <mergeCell ref="L4:L5"/>
    <mergeCell ref="C17:H17"/>
    <mergeCell ref="B3:B5"/>
    <mergeCell ref="J3:L3"/>
    <mergeCell ref="B1:R1"/>
    <mergeCell ref="O3:O5"/>
    <mergeCell ref="B12:E12"/>
    <mergeCell ref="Q3:Q5"/>
    <mergeCell ref="N3:N5"/>
    <mergeCell ref="K4:K5"/>
    <mergeCell ref="I4:I5"/>
    <mergeCell ref="F3:F5"/>
    <mergeCell ref="J17:L17"/>
    <mergeCell ref="G12:L12"/>
    <mergeCell ref="H3:I3"/>
    <mergeCell ref="B13:E13"/>
    <mergeCell ref="G3:G5"/>
    <mergeCell ref="H4:H5"/>
    <mergeCell ref="D3:D5"/>
  </mergeCells>
  <pageMargins left="0.25" right="0.25" top="0.4" bottom="0.4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Евгений В.</dc:creator>
  <dcterms:created xsi:type="dcterms:W3CDTF">2026-09-08T06:52:19Z</dcterms:created>
  <dcterms:modified xsi:type="dcterms:W3CDTF">2026-09-14T11:20:51Z</dcterms:modified>
  <cp:lastModifiedBy>Евгений В.</cp:lastModifiedBy>
</cp:coreProperties>
</file>