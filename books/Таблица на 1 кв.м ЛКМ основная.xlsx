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WN\yandexDisk\SPKEFFA\YandexDisk\Рабочая СПК ЭФФА\"/>
    </mc:Choice>
  </mc:AlternateContent>
  <xr:revisionPtr revIDLastSave="0" documentId="13_ncr:1_{5B2D39BD-876F-490E-BF53-4402075D8F3E}" xr6:coauthVersionLast="47" xr6:coauthVersionMax="47" xr10:uidLastSave="{00000000-0000-0000-0000-000000000000}"/>
  <bookViews>
    <workbookView xWindow="-120" yWindow="-120" windowWidth="29040" windowHeight="15840" firstSheet="16" activeTab="26" xr2:uid="{00000000-000D-0000-FFFF-FFFF00000000}"/>
  </bookViews>
  <sheets>
    <sheet name="Лист14" sheetId="38" r:id="rId1"/>
    <sheet name="АКЗ" sheetId="20" r:id="rId2"/>
    <sheet name="ГФ и Деколак" sheetId="39" r:id="rId3"/>
    <sheet name="ЭКСТРА" sheetId="35" r:id="rId4"/>
    <sheet name="Лист12" sheetId="36" r:id="rId5"/>
    <sheet name="ТОАЗ" sheetId="34" r:id="rId6"/>
    <sheet name="С цинком" sheetId="22" r:id="rId7"/>
    <sheet name="СК ПРОЕКТ (2)" sheetId="18" r:id="rId8"/>
    <sheet name="Лист13" sheetId="29" r:id="rId9"/>
    <sheet name="Антикорсервис" sheetId="1" r:id="rId10"/>
    <sheet name="pENTRICOR и Литум" sheetId="26" r:id="rId11"/>
    <sheet name="Акрус и Литум" sheetId="28" r:id="rId12"/>
    <sheet name="БАСА и Blank и тендер" sheetId="27" r:id="rId13"/>
    <sheet name="PIROCOR" sheetId="32" r:id="rId14"/>
    <sheet name="Аналоги" sheetId="31" r:id="rId15"/>
    <sheet name="РВС" sheetId="30" r:id="rId16"/>
    <sheet name="ВМП ЛИТУМ БЛАНК" sheetId="21" r:id="rId17"/>
    <sheet name="Сулакавер Бланк Литум" sheetId="16" r:id="rId18"/>
    <sheet name="ТСП ТМП" sheetId="13" r:id="rId19"/>
    <sheet name="Антикор" sheetId="3" r:id="rId20"/>
    <sheet name="СК ПРОЕКТ" sheetId="2" r:id="rId21"/>
    <sheet name="ВНИКТИ" sheetId="37" r:id="rId22"/>
    <sheet name="Лист1" sheetId="33" r:id="rId23"/>
    <sheet name="Лист8" sheetId="10" r:id="rId24"/>
    <sheet name="Лист6" sheetId="17" r:id="rId25"/>
    <sheet name="Лист4" sheetId="6" r:id="rId26"/>
    <sheet name="Лист2" sheetId="4" r:id="rId27"/>
    <sheet name="Лист10" sheetId="23" r:id="rId28"/>
    <sheet name="Лист11" sheetId="24" r:id="rId29"/>
    <sheet name="Лист3" sheetId="5" r:id="rId30"/>
    <sheet name="Лист5" sheetId="7" r:id="rId31"/>
    <sheet name="ЛИСТ АКЗ" sheetId="12" r:id="rId32"/>
    <sheet name="Лист7" sheetId="9" r:id="rId33"/>
    <sheet name="ЛИСТ ОГЗ " sheetId="11" r:id="rId34"/>
    <sheet name="Огз ЭФФА ЭП 150" sheetId="25" r:id="rId35"/>
    <sheet name="ОГЗ ДЕКО ОГРАКС" sheetId="14" r:id="rId36"/>
    <sheet name="Сравнение" sheetId="15" r:id="rId37"/>
    <sheet name="Лист9" sheetId="19" r:id="rId38"/>
  </sheets>
  <definedNames>
    <definedName name="_xlnm.Print_Area" localSheetId="1">АКЗ!$A$1:$AD$169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4" l="1"/>
  <c r="M106" i="4"/>
  <c r="I106" i="4"/>
  <c r="K106" i="4" s="1"/>
  <c r="N106" i="4" s="1"/>
  <c r="G106" i="4"/>
  <c r="M105" i="4"/>
  <c r="I105" i="4"/>
  <c r="K105" i="4" s="1"/>
  <c r="N105" i="4" s="1"/>
  <c r="G105" i="4"/>
  <c r="H97" i="4"/>
  <c r="M94" i="4"/>
  <c r="I94" i="4"/>
  <c r="K94" i="4" s="1"/>
  <c r="N94" i="4" s="1"/>
  <c r="G94" i="4"/>
  <c r="M93" i="4"/>
  <c r="I93" i="4"/>
  <c r="K93" i="4" s="1"/>
  <c r="N93" i="4" s="1"/>
  <c r="G93" i="4"/>
  <c r="O7" i="38"/>
  <c r="P7" i="38"/>
  <c r="N7" i="38"/>
  <c r="G6" i="38"/>
  <c r="H3" i="39"/>
  <c r="H2" i="39"/>
  <c r="H9" i="39"/>
  <c r="F9" i="39"/>
  <c r="F8" i="39"/>
  <c r="H8" i="39" s="1"/>
  <c r="D10" i="39"/>
  <c r="C10" i="39"/>
  <c r="D4" i="39"/>
  <c r="C4" i="39"/>
  <c r="H4" i="39"/>
  <c r="M39" i="38"/>
  <c r="I39" i="38"/>
  <c r="K39" i="38" s="1"/>
  <c r="N39" i="38" s="1"/>
  <c r="O39" i="38" s="1"/>
  <c r="P39" i="38" s="1"/>
  <c r="G39" i="38"/>
  <c r="H41" i="38"/>
  <c r="M40" i="38"/>
  <c r="I40" i="38"/>
  <c r="K40" i="38" s="1"/>
  <c r="N40" i="38" s="1"/>
  <c r="O40" i="38" s="1"/>
  <c r="P40" i="38" s="1"/>
  <c r="G40" i="38"/>
  <c r="M38" i="38"/>
  <c r="I38" i="38"/>
  <c r="K38" i="38" s="1"/>
  <c r="N38" i="38" s="1"/>
  <c r="O38" i="38" s="1"/>
  <c r="P38" i="38" s="1"/>
  <c r="G38" i="38"/>
  <c r="H29" i="38"/>
  <c r="M28" i="38"/>
  <c r="I28" i="38"/>
  <c r="K28" i="38" s="1"/>
  <c r="N28" i="38" s="1"/>
  <c r="O28" i="38" s="1"/>
  <c r="P28" i="38" s="1"/>
  <c r="G28" i="38"/>
  <c r="M27" i="38"/>
  <c r="I27" i="38"/>
  <c r="K27" i="38" s="1"/>
  <c r="N27" i="38" s="1"/>
  <c r="O27" i="38" s="1"/>
  <c r="P27" i="38" s="1"/>
  <c r="G27" i="38"/>
  <c r="H17" i="38"/>
  <c r="M16" i="38"/>
  <c r="I16" i="38"/>
  <c r="K16" i="38" s="1"/>
  <c r="N16" i="38" s="1"/>
  <c r="O16" i="38" s="1"/>
  <c r="P16" i="38" s="1"/>
  <c r="G16" i="38"/>
  <c r="M15" i="38"/>
  <c r="I15" i="38"/>
  <c r="K15" i="38" s="1"/>
  <c r="N15" i="38" s="1"/>
  <c r="O15" i="38" s="1"/>
  <c r="P15" i="38" s="1"/>
  <c r="G15" i="38"/>
  <c r="H8" i="38"/>
  <c r="M6" i="38"/>
  <c r="I6" i="38"/>
  <c r="K6" i="38" s="1"/>
  <c r="N6" i="38" s="1"/>
  <c r="H82" i="4"/>
  <c r="M79" i="4"/>
  <c r="I79" i="4"/>
  <c r="K79" i="4" s="1"/>
  <c r="N79" i="4" s="1"/>
  <c r="G79" i="4"/>
  <c r="M78" i="4"/>
  <c r="I78" i="4"/>
  <c r="K78" i="4" s="1"/>
  <c r="N78" i="4" s="1"/>
  <c r="G78" i="4"/>
  <c r="H69" i="4"/>
  <c r="M66" i="4"/>
  <c r="I66" i="4"/>
  <c r="K66" i="4" s="1"/>
  <c r="N66" i="4" s="1"/>
  <c r="G66" i="4"/>
  <c r="M65" i="4"/>
  <c r="I65" i="4"/>
  <c r="K65" i="4" s="1"/>
  <c r="N65" i="4" s="1"/>
  <c r="O65" i="4" s="1"/>
  <c r="P65" i="4" s="1"/>
  <c r="G65" i="4"/>
  <c r="O64" i="26"/>
  <c r="M71" i="26"/>
  <c r="N71" i="26" s="1"/>
  <c r="M72" i="26" s="1"/>
  <c r="M73" i="26" s="1"/>
  <c r="AA68" i="26"/>
  <c r="Z65" i="26"/>
  <c r="H15" i="37"/>
  <c r="N14" i="37"/>
  <c r="N13" i="37"/>
  <c r="N12" i="37"/>
  <c r="N10" i="37"/>
  <c r="N9" i="37"/>
  <c r="O9" i="37"/>
  <c r="P9" i="37" s="1"/>
  <c r="M9" i="37"/>
  <c r="K9" i="37"/>
  <c r="L9" i="37" s="1"/>
  <c r="N11" i="37"/>
  <c r="M11" i="37"/>
  <c r="I11" i="37"/>
  <c r="K11" i="37" s="1"/>
  <c r="L11" i="37" s="1"/>
  <c r="G11" i="37"/>
  <c r="O10" i="37"/>
  <c r="M10" i="37"/>
  <c r="K10" i="37"/>
  <c r="L10" i="37" s="1"/>
  <c r="L13" i="37" s="1"/>
  <c r="N8" i="37"/>
  <c r="M8" i="37"/>
  <c r="I8" i="37"/>
  <c r="K8" i="37" s="1"/>
  <c r="L8" i="37" s="1"/>
  <c r="G8" i="37"/>
  <c r="M6" i="35"/>
  <c r="M7" i="35"/>
  <c r="M8" i="35"/>
  <c r="N6" i="35"/>
  <c r="N8" i="35"/>
  <c r="N7" i="35"/>
  <c r="M21" i="35"/>
  <c r="N21" i="35" s="1"/>
  <c r="M20" i="35"/>
  <c r="N20" i="35" s="1"/>
  <c r="M19" i="35"/>
  <c r="N19" i="35" s="1"/>
  <c r="I25" i="35"/>
  <c r="J21" i="35"/>
  <c r="L21" i="35" s="1"/>
  <c r="O21" i="35" s="1"/>
  <c r="H21" i="35"/>
  <c r="J20" i="35"/>
  <c r="L20" i="35" s="1"/>
  <c r="O20" i="35" s="1"/>
  <c r="H20" i="35"/>
  <c r="J19" i="35"/>
  <c r="L19" i="35" s="1"/>
  <c r="O19" i="35" s="1"/>
  <c r="H19" i="35"/>
  <c r="J6" i="35"/>
  <c r="L6" i="35" s="1"/>
  <c r="O6" i="35" s="1"/>
  <c r="P6" i="35" s="1"/>
  <c r="Q6" i="35" s="1"/>
  <c r="H6" i="35"/>
  <c r="I12" i="35"/>
  <c r="J8" i="35"/>
  <c r="L8" i="35" s="1"/>
  <c r="O8" i="35" s="1"/>
  <c r="H8" i="35"/>
  <c r="J7" i="35"/>
  <c r="L7" i="35" s="1"/>
  <c r="O7" i="35" s="1"/>
  <c r="H7" i="35"/>
  <c r="H152" i="20"/>
  <c r="H151" i="20"/>
  <c r="L175" i="34"/>
  <c r="L174" i="34"/>
  <c r="L163" i="34"/>
  <c r="L162" i="34"/>
  <c r="M162" i="34" s="1"/>
  <c r="M163" i="34"/>
  <c r="L151" i="34"/>
  <c r="L150" i="34"/>
  <c r="M150" i="34"/>
  <c r="L139" i="34"/>
  <c r="L138" i="34"/>
  <c r="M138" i="34" s="1"/>
  <c r="L128" i="34"/>
  <c r="M128" i="34" s="1"/>
  <c r="L127" i="34"/>
  <c r="M127" i="34" s="1"/>
  <c r="L117" i="34"/>
  <c r="L116" i="34"/>
  <c r="M116" i="34" s="1"/>
  <c r="L106" i="34"/>
  <c r="M106" i="34" s="1"/>
  <c r="L105" i="34"/>
  <c r="M105" i="34" s="1"/>
  <c r="L95" i="34"/>
  <c r="M95" i="34" s="1"/>
  <c r="L94" i="34"/>
  <c r="M94" i="34"/>
  <c r="L84" i="34"/>
  <c r="L83" i="34"/>
  <c r="M83" i="34"/>
  <c r="L73" i="34"/>
  <c r="L72" i="34"/>
  <c r="L62" i="34"/>
  <c r="L61" i="34"/>
  <c r="L51" i="34"/>
  <c r="M51" i="34" s="1"/>
  <c r="L50" i="34"/>
  <c r="M50" i="34" s="1"/>
  <c r="L40" i="34"/>
  <c r="L39" i="34"/>
  <c r="L29" i="34"/>
  <c r="M29" i="34" s="1"/>
  <c r="L28" i="34"/>
  <c r="M28" i="34" s="1"/>
  <c r="L18" i="34"/>
  <c r="L17" i="34"/>
  <c r="L7" i="34"/>
  <c r="P7" i="34" s="1"/>
  <c r="L6" i="34"/>
  <c r="H178" i="34"/>
  <c r="M175" i="34"/>
  <c r="I175" i="34"/>
  <c r="K175" i="34" s="1"/>
  <c r="N175" i="34" s="1"/>
  <c r="G175" i="34"/>
  <c r="M174" i="34"/>
  <c r="I174" i="34"/>
  <c r="K174" i="34" s="1"/>
  <c r="N174" i="34" s="1"/>
  <c r="G174" i="34"/>
  <c r="H166" i="34"/>
  <c r="I163" i="34"/>
  <c r="K163" i="34" s="1"/>
  <c r="N163" i="34" s="1"/>
  <c r="G163" i="34"/>
  <c r="I162" i="34"/>
  <c r="K162" i="34" s="1"/>
  <c r="N162" i="34" s="1"/>
  <c r="G162" i="34"/>
  <c r="H154" i="34"/>
  <c r="M151" i="34"/>
  <c r="I151" i="34"/>
  <c r="K151" i="34" s="1"/>
  <c r="N151" i="34" s="1"/>
  <c r="G151" i="34"/>
  <c r="I150" i="34"/>
  <c r="K150" i="34" s="1"/>
  <c r="N150" i="34" s="1"/>
  <c r="G150" i="34"/>
  <c r="H142" i="34"/>
  <c r="M139" i="34"/>
  <c r="I139" i="34"/>
  <c r="K139" i="34" s="1"/>
  <c r="N139" i="34" s="1"/>
  <c r="G139" i="34"/>
  <c r="I138" i="34"/>
  <c r="K138" i="34" s="1"/>
  <c r="N138" i="34" s="1"/>
  <c r="G138" i="34"/>
  <c r="H131" i="34"/>
  <c r="I128" i="34"/>
  <c r="K128" i="34" s="1"/>
  <c r="N128" i="34" s="1"/>
  <c r="G128" i="34"/>
  <c r="I127" i="34"/>
  <c r="K127" i="34" s="1"/>
  <c r="N127" i="34" s="1"/>
  <c r="G127" i="34"/>
  <c r="H120" i="34"/>
  <c r="M117" i="34"/>
  <c r="I117" i="34"/>
  <c r="K117" i="34" s="1"/>
  <c r="N117" i="34" s="1"/>
  <c r="G117" i="34"/>
  <c r="I116" i="34"/>
  <c r="K116" i="34" s="1"/>
  <c r="N116" i="34" s="1"/>
  <c r="G116" i="34"/>
  <c r="H109" i="34"/>
  <c r="I106" i="34"/>
  <c r="K106" i="34" s="1"/>
  <c r="N106" i="34" s="1"/>
  <c r="G106" i="34"/>
  <c r="I105" i="34"/>
  <c r="K105" i="34" s="1"/>
  <c r="N105" i="34" s="1"/>
  <c r="G105" i="34"/>
  <c r="H98" i="34"/>
  <c r="I95" i="34"/>
  <c r="K95" i="34" s="1"/>
  <c r="N95" i="34" s="1"/>
  <c r="G95" i="34"/>
  <c r="I94" i="34"/>
  <c r="K94" i="34" s="1"/>
  <c r="N94" i="34" s="1"/>
  <c r="G94" i="34"/>
  <c r="H87" i="34"/>
  <c r="M84" i="34"/>
  <c r="I84" i="34"/>
  <c r="K84" i="34" s="1"/>
  <c r="N84" i="34" s="1"/>
  <c r="G84" i="34"/>
  <c r="I83" i="34"/>
  <c r="K83" i="34" s="1"/>
  <c r="N83" i="34" s="1"/>
  <c r="G83" i="34"/>
  <c r="H76" i="34"/>
  <c r="M73" i="34"/>
  <c r="I73" i="34"/>
  <c r="K73" i="34" s="1"/>
  <c r="N73" i="34" s="1"/>
  <c r="G73" i="34"/>
  <c r="M72" i="34"/>
  <c r="I72" i="34"/>
  <c r="K72" i="34" s="1"/>
  <c r="N72" i="34" s="1"/>
  <c r="G72" i="34"/>
  <c r="H65" i="34"/>
  <c r="M62" i="34"/>
  <c r="I62" i="34"/>
  <c r="K62" i="34" s="1"/>
  <c r="N62" i="34" s="1"/>
  <c r="G62" i="34"/>
  <c r="M61" i="34"/>
  <c r="I61" i="34"/>
  <c r="K61" i="34" s="1"/>
  <c r="N61" i="34" s="1"/>
  <c r="G61" i="34"/>
  <c r="H54" i="34"/>
  <c r="I51" i="34"/>
  <c r="K51" i="34" s="1"/>
  <c r="N51" i="34" s="1"/>
  <c r="G51" i="34"/>
  <c r="I50" i="34"/>
  <c r="K50" i="34" s="1"/>
  <c r="N50" i="34" s="1"/>
  <c r="G50" i="34"/>
  <c r="H43" i="34"/>
  <c r="M40" i="34"/>
  <c r="I40" i="34"/>
  <c r="K40" i="34" s="1"/>
  <c r="N40" i="34" s="1"/>
  <c r="G40" i="34"/>
  <c r="M39" i="34"/>
  <c r="I39" i="34"/>
  <c r="K39" i="34" s="1"/>
  <c r="N39" i="34" s="1"/>
  <c r="G39" i="34"/>
  <c r="H32" i="34"/>
  <c r="I29" i="34"/>
  <c r="K29" i="34" s="1"/>
  <c r="N29" i="34" s="1"/>
  <c r="G29" i="34"/>
  <c r="I28" i="34"/>
  <c r="K28" i="34" s="1"/>
  <c r="N28" i="34" s="1"/>
  <c r="G28" i="34"/>
  <c r="H21" i="34"/>
  <c r="M18" i="34"/>
  <c r="I18" i="34"/>
  <c r="K18" i="34" s="1"/>
  <c r="N18" i="34" s="1"/>
  <c r="G18" i="34"/>
  <c r="M17" i="34"/>
  <c r="I17" i="34"/>
  <c r="K17" i="34" s="1"/>
  <c r="N17" i="34" s="1"/>
  <c r="G17" i="34"/>
  <c r="H10" i="34"/>
  <c r="N9" i="34"/>
  <c r="O9" i="34" s="1"/>
  <c r="P9" i="34" s="1"/>
  <c r="I7" i="34"/>
  <c r="K7" i="34" s="1"/>
  <c r="N7" i="34" s="1"/>
  <c r="O7" i="34" s="1"/>
  <c r="G7" i="34"/>
  <c r="M6" i="34"/>
  <c r="I6" i="34"/>
  <c r="K6" i="34" s="1"/>
  <c r="N6" i="34" s="1"/>
  <c r="O6" i="34" s="1"/>
  <c r="P6" i="34" s="1"/>
  <c r="G6" i="34"/>
  <c r="O72" i="1"/>
  <c r="N72" i="1"/>
  <c r="L9" i="1"/>
  <c r="L8" i="1"/>
  <c r="L16" i="1"/>
  <c r="L15" i="1"/>
  <c r="H18" i="1"/>
  <c r="I16" i="1"/>
  <c r="K16" i="1" s="1"/>
  <c r="N16" i="1" s="1"/>
  <c r="G16" i="1"/>
  <c r="I15" i="1"/>
  <c r="K15" i="1" s="1"/>
  <c r="N15" i="1" s="1"/>
  <c r="G15" i="1"/>
  <c r="Y29" i="20"/>
  <c r="Q140" i="20"/>
  <c r="S142" i="20"/>
  <c r="J140" i="20"/>
  <c r="I140" i="20"/>
  <c r="H138" i="20"/>
  <c r="N139" i="20"/>
  <c r="J139" i="20"/>
  <c r="L139" i="20" s="1"/>
  <c r="O139" i="20" s="1"/>
  <c r="P139" i="20" s="1"/>
  <c r="Q139" i="20" s="1"/>
  <c r="H139" i="20"/>
  <c r="I153" i="20"/>
  <c r="N151" i="20"/>
  <c r="J151" i="20"/>
  <c r="L151" i="20" s="1"/>
  <c r="O151" i="20" s="1"/>
  <c r="P151" i="20" s="1"/>
  <c r="N152" i="20"/>
  <c r="J152" i="20"/>
  <c r="L152" i="20" s="1"/>
  <c r="O152" i="20" s="1"/>
  <c r="P152" i="20" s="1"/>
  <c r="M275" i="1"/>
  <c r="M276" i="1"/>
  <c r="M274" i="1"/>
  <c r="Y16" i="20"/>
  <c r="O105" i="4" l="1"/>
  <c r="P105" i="4" s="1"/>
  <c r="N107" i="4"/>
  <c r="N108" i="4"/>
  <c r="O106" i="4"/>
  <c r="P106" i="4" s="1"/>
  <c r="O93" i="4"/>
  <c r="P93" i="4" s="1"/>
  <c r="N95" i="4"/>
  <c r="N96" i="4"/>
  <c r="O94" i="4"/>
  <c r="P94" i="4" s="1"/>
  <c r="H10" i="39"/>
  <c r="P29" i="38"/>
  <c r="P41" i="38"/>
  <c r="P17" i="38"/>
  <c r="O6" i="38"/>
  <c r="O78" i="4"/>
  <c r="P78" i="4" s="1"/>
  <c r="N80" i="4"/>
  <c r="N81" i="4"/>
  <c r="O79" i="4"/>
  <c r="P79" i="4" s="1"/>
  <c r="N68" i="4"/>
  <c r="O66" i="4"/>
  <c r="P66" i="4" s="1"/>
  <c r="N67" i="4"/>
  <c r="N15" i="37"/>
  <c r="P10" i="37"/>
  <c r="O13" i="37"/>
  <c r="P13" i="37" s="1"/>
  <c r="O8" i="37"/>
  <c r="L12" i="37"/>
  <c r="O11" i="37"/>
  <c r="L14" i="37"/>
  <c r="O23" i="35"/>
  <c r="P23" i="35" s="1"/>
  <c r="Q23" i="35" s="1"/>
  <c r="P20" i="35"/>
  <c r="Q20" i="35" s="1"/>
  <c r="P19" i="35"/>
  <c r="Q19" i="35" s="1"/>
  <c r="O22" i="35"/>
  <c r="P22" i="35" s="1"/>
  <c r="Q22" i="35" s="1"/>
  <c r="P21" i="35"/>
  <c r="Q21" i="35" s="1"/>
  <c r="O24" i="35"/>
  <c r="P24" i="35" s="1"/>
  <c r="Q24" i="35" s="1"/>
  <c r="O9" i="35"/>
  <c r="P9" i="35" s="1"/>
  <c r="Q9" i="35" s="1"/>
  <c r="P7" i="35"/>
  <c r="Q7" i="35" s="1"/>
  <c r="O10" i="35"/>
  <c r="P10" i="35" s="1"/>
  <c r="Q10" i="35" s="1"/>
  <c r="O11" i="35"/>
  <c r="P11" i="35" s="1"/>
  <c r="Q11" i="35" s="1"/>
  <c r="P8" i="35"/>
  <c r="Q8" i="35" s="1"/>
  <c r="M7" i="34"/>
  <c r="N176" i="34"/>
  <c r="O176" i="34" s="1"/>
  <c r="P176" i="34" s="1"/>
  <c r="O174" i="34"/>
  <c r="P174" i="34" s="1"/>
  <c r="N177" i="34"/>
  <c r="O177" i="34" s="1"/>
  <c r="P177" i="34" s="1"/>
  <c r="O175" i="34"/>
  <c r="P175" i="34" s="1"/>
  <c r="N164" i="34"/>
  <c r="O164" i="34" s="1"/>
  <c r="P164" i="34" s="1"/>
  <c r="O162" i="34"/>
  <c r="P162" i="34" s="1"/>
  <c r="N165" i="34"/>
  <c r="O165" i="34" s="1"/>
  <c r="P165" i="34" s="1"/>
  <c r="O163" i="34"/>
  <c r="P163" i="34" s="1"/>
  <c r="O150" i="34"/>
  <c r="P150" i="34" s="1"/>
  <c r="N152" i="34"/>
  <c r="O152" i="34" s="1"/>
  <c r="P152" i="34" s="1"/>
  <c r="N153" i="34"/>
  <c r="O153" i="34" s="1"/>
  <c r="P153" i="34" s="1"/>
  <c r="O151" i="34"/>
  <c r="P151" i="34" s="1"/>
  <c r="N140" i="34"/>
  <c r="O140" i="34" s="1"/>
  <c r="P140" i="34" s="1"/>
  <c r="O138" i="34"/>
  <c r="P138" i="34" s="1"/>
  <c r="N141" i="34"/>
  <c r="O141" i="34" s="1"/>
  <c r="P141" i="34" s="1"/>
  <c r="O139" i="34"/>
  <c r="P139" i="34" s="1"/>
  <c r="N129" i="34"/>
  <c r="O129" i="34" s="1"/>
  <c r="P129" i="34" s="1"/>
  <c r="O127" i="34"/>
  <c r="P127" i="34" s="1"/>
  <c r="N130" i="34"/>
  <c r="O130" i="34" s="1"/>
  <c r="P130" i="34" s="1"/>
  <c r="O128" i="34"/>
  <c r="P128" i="34" s="1"/>
  <c r="N118" i="34"/>
  <c r="O118" i="34" s="1"/>
  <c r="P118" i="34" s="1"/>
  <c r="O116" i="34"/>
  <c r="P116" i="34" s="1"/>
  <c r="N119" i="34"/>
  <c r="O119" i="34" s="1"/>
  <c r="P119" i="34" s="1"/>
  <c r="O117" i="34"/>
  <c r="P117" i="34" s="1"/>
  <c r="N107" i="34"/>
  <c r="O107" i="34" s="1"/>
  <c r="P107" i="34" s="1"/>
  <c r="O105" i="34"/>
  <c r="P105" i="34" s="1"/>
  <c r="N108" i="34"/>
  <c r="O108" i="34" s="1"/>
  <c r="P108" i="34" s="1"/>
  <c r="O106" i="34"/>
  <c r="P106" i="34" s="1"/>
  <c r="N96" i="34"/>
  <c r="O96" i="34" s="1"/>
  <c r="P96" i="34" s="1"/>
  <c r="O94" i="34"/>
  <c r="P94" i="34" s="1"/>
  <c r="N97" i="34"/>
  <c r="O97" i="34" s="1"/>
  <c r="P97" i="34" s="1"/>
  <c r="O95" i="34"/>
  <c r="P95" i="34" s="1"/>
  <c r="N85" i="34"/>
  <c r="O85" i="34" s="1"/>
  <c r="P85" i="34" s="1"/>
  <c r="O83" i="34"/>
  <c r="P83" i="34" s="1"/>
  <c r="N86" i="34"/>
  <c r="O86" i="34" s="1"/>
  <c r="P86" i="34" s="1"/>
  <c r="O84" i="34"/>
  <c r="P84" i="34" s="1"/>
  <c r="N74" i="34"/>
  <c r="O74" i="34" s="1"/>
  <c r="P74" i="34" s="1"/>
  <c r="O72" i="34"/>
  <c r="P72" i="34" s="1"/>
  <c r="N75" i="34"/>
  <c r="O75" i="34" s="1"/>
  <c r="P75" i="34" s="1"/>
  <c r="O73" i="34"/>
  <c r="P73" i="34" s="1"/>
  <c r="N63" i="34"/>
  <c r="O63" i="34" s="1"/>
  <c r="P63" i="34" s="1"/>
  <c r="O61" i="34"/>
  <c r="P61" i="34" s="1"/>
  <c r="N64" i="34"/>
  <c r="O64" i="34" s="1"/>
  <c r="P64" i="34" s="1"/>
  <c r="O62" i="34"/>
  <c r="P62" i="34" s="1"/>
  <c r="N52" i="34"/>
  <c r="O52" i="34" s="1"/>
  <c r="P52" i="34" s="1"/>
  <c r="O50" i="34"/>
  <c r="P50" i="34" s="1"/>
  <c r="N53" i="34"/>
  <c r="O53" i="34" s="1"/>
  <c r="P53" i="34" s="1"/>
  <c r="O51" i="34"/>
  <c r="P51" i="34" s="1"/>
  <c r="N41" i="34"/>
  <c r="O41" i="34" s="1"/>
  <c r="P41" i="34" s="1"/>
  <c r="O39" i="34"/>
  <c r="P39" i="34" s="1"/>
  <c r="N42" i="34"/>
  <c r="O42" i="34" s="1"/>
  <c r="P42" i="34" s="1"/>
  <c r="O40" i="34"/>
  <c r="P40" i="34" s="1"/>
  <c r="N30" i="34"/>
  <c r="O30" i="34" s="1"/>
  <c r="P30" i="34" s="1"/>
  <c r="O28" i="34"/>
  <c r="P28" i="34" s="1"/>
  <c r="O29" i="34"/>
  <c r="P29" i="34" s="1"/>
  <c r="N31" i="34"/>
  <c r="O31" i="34" s="1"/>
  <c r="P31" i="34" s="1"/>
  <c r="N19" i="34"/>
  <c r="O19" i="34" s="1"/>
  <c r="P19" i="34" s="1"/>
  <c r="O17" i="34"/>
  <c r="P17" i="34" s="1"/>
  <c r="N20" i="34"/>
  <c r="O20" i="34" s="1"/>
  <c r="P20" i="34" s="1"/>
  <c r="O18" i="34"/>
  <c r="P18" i="34" s="1"/>
  <c r="N8" i="34"/>
  <c r="O8" i="34" s="1"/>
  <c r="P8" i="34" s="1"/>
  <c r="P10" i="34" s="1"/>
  <c r="Q6" i="34" s="1"/>
  <c r="P15" i="1"/>
  <c r="O15" i="1"/>
  <c r="N17" i="1"/>
  <c r="O16" i="1"/>
  <c r="P16" i="1"/>
  <c r="P153" i="20"/>
  <c r="M27" i="20"/>
  <c r="M26" i="20"/>
  <c r="M14" i="20"/>
  <c r="M13" i="20"/>
  <c r="M25" i="20"/>
  <c r="N25" i="20" s="1"/>
  <c r="M24" i="20"/>
  <c r="N24" i="20" s="1"/>
  <c r="M12" i="20"/>
  <c r="M11" i="20"/>
  <c r="I28" i="20"/>
  <c r="J25" i="20"/>
  <c r="L25" i="20" s="1"/>
  <c r="O25" i="20" s="1"/>
  <c r="P25" i="20" s="1"/>
  <c r="P27" i="20" s="1"/>
  <c r="H25" i="20"/>
  <c r="J24" i="20"/>
  <c r="L24" i="20" s="1"/>
  <c r="O24" i="20" s="1"/>
  <c r="P24" i="20" s="1"/>
  <c r="P26" i="20" s="1"/>
  <c r="H24" i="20"/>
  <c r="N138" i="20"/>
  <c r="J138" i="20"/>
  <c r="L138" i="20" s="1"/>
  <c r="O138" i="20" s="1"/>
  <c r="P138" i="20" s="1"/>
  <c r="Q138" i="20" s="1"/>
  <c r="H113" i="20"/>
  <c r="H114" i="20"/>
  <c r="D132" i="20"/>
  <c r="D133" i="20" s="1"/>
  <c r="I131" i="20"/>
  <c r="N130" i="20"/>
  <c r="J130" i="20"/>
  <c r="L130" i="20" s="1"/>
  <c r="O130" i="20" s="1"/>
  <c r="P130" i="20" s="1"/>
  <c r="Q130" i="20" s="1"/>
  <c r="Q131" i="20" s="1"/>
  <c r="H130" i="20"/>
  <c r="T102" i="20"/>
  <c r="W101" i="20"/>
  <c r="J113" i="20"/>
  <c r="L113" i="20" s="1"/>
  <c r="O113" i="20" s="1"/>
  <c r="N113" i="20"/>
  <c r="I123" i="20"/>
  <c r="N122" i="20"/>
  <c r="J122" i="20"/>
  <c r="L122" i="20" s="1"/>
  <c r="O122" i="20" s="1"/>
  <c r="P122" i="20" s="1"/>
  <c r="Q122" i="20" s="1"/>
  <c r="H122" i="20"/>
  <c r="N121" i="20"/>
  <c r="J121" i="20"/>
  <c r="L121" i="20" s="1"/>
  <c r="O121" i="20" s="1"/>
  <c r="P121" i="20" s="1"/>
  <c r="Q121" i="20" s="1"/>
  <c r="H121" i="20"/>
  <c r="I115" i="20"/>
  <c r="N114" i="20"/>
  <c r="J114" i="20"/>
  <c r="L114" i="20" s="1"/>
  <c r="O114" i="20" s="1"/>
  <c r="P114" i="20" s="1"/>
  <c r="Q114" i="20" s="1"/>
  <c r="P108" i="4" l="1"/>
  <c r="O108" i="4"/>
  <c r="P107" i="4"/>
  <c r="O107" i="4"/>
  <c r="P109" i="4"/>
  <c r="O96" i="4"/>
  <c r="P96" i="4"/>
  <c r="O95" i="4"/>
  <c r="P95" i="4"/>
  <c r="P6" i="38"/>
  <c r="P81" i="4"/>
  <c r="O81" i="4"/>
  <c r="P80" i="4"/>
  <c r="O80" i="4"/>
  <c r="P67" i="4"/>
  <c r="O67" i="4"/>
  <c r="P68" i="4"/>
  <c r="O68" i="4"/>
  <c r="P11" i="37"/>
  <c r="O14" i="37"/>
  <c r="P14" i="37" s="1"/>
  <c r="P8" i="37"/>
  <c r="O12" i="37"/>
  <c r="P12" i="37" s="1"/>
  <c r="Q25" i="35"/>
  <c r="R19" i="35" s="1"/>
  <c r="Q12" i="35"/>
  <c r="R6" i="35" s="1"/>
  <c r="P43" i="34"/>
  <c r="Q39" i="34" s="1"/>
  <c r="P178" i="34"/>
  <c r="Q174" i="34" s="1"/>
  <c r="P166" i="34"/>
  <c r="Q162" i="34" s="1"/>
  <c r="P154" i="34"/>
  <c r="Q150" i="34" s="1"/>
  <c r="P142" i="34"/>
  <c r="Q138" i="34" s="1"/>
  <c r="P131" i="34"/>
  <c r="Q127" i="34" s="1"/>
  <c r="P120" i="34"/>
  <c r="Q116" i="34" s="1"/>
  <c r="P109" i="34"/>
  <c r="Q105" i="34" s="1"/>
  <c r="P98" i="34"/>
  <c r="Q94" i="34" s="1"/>
  <c r="P87" i="34"/>
  <c r="Q83" i="34" s="1"/>
  <c r="P76" i="34"/>
  <c r="Q72" i="34" s="1"/>
  <c r="P65" i="34"/>
  <c r="Q61" i="34" s="1"/>
  <c r="P54" i="34"/>
  <c r="Q50" i="34" s="1"/>
  <c r="P32" i="34"/>
  <c r="Q28" i="34" s="1"/>
  <c r="P21" i="34"/>
  <c r="Q17" i="34" s="1"/>
  <c r="P17" i="1"/>
  <c r="P18" i="1" s="1"/>
  <c r="O17" i="1"/>
  <c r="O26" i="20"/>
  <c r="Q26" i="20" s="1"/>
  <c r="O27" i="20"/>
  <c r="Q27" i="20" s="1"/>
  <c r="Q24" i="20"/>
  <c r="Q25" i="20"/>
  <c r="P113" i="20"/>
  <c r="Q113" i="20" s="1"/>
  <c r="Q115" i="20" s="1"/>
  <c r="Q123" i="20"/>
  <c r="P97" i="4" l="1"/>
  <c r="P8" i="38"/>
  <c r="P82" i="4"/>
  <c r="P69" i="4"/>
  <c r="O15" i="37"/>
  <c r="P15" i="37"/>
  <c r="Q28" i="20"/>
  <c r="H39" i="20"/>
  <c r="E72" i="13"/>
  <c r="E73" i="13"/>
  <c r="E74" i="13"/>
  <c r="E71" i="13"/>
  <c r="E64" i="13"/>
  <c r="E65" i="13"/>
  <c r="E66" i="13"/>
  <c r="E63" i="13"/>
  <c r="E56" i="13"/>
  <c r="E57" i="13"/>
  <c r="E58" i="13"/>
  <c r="E55" i="13"/>
  <c r="H11" i="20"/>
  <c r="H12" i="20"/>
  <c r="H38" i="20"/>
  <c r="R15" i="33" l="1"/>
  <c r="O11" i="33"/>
  <c r="O9" i="33"/>
  <c r="L11" i="33"/>
  <c r="L9" i="33"/>
  <c r="F15" i="33"/>
  <c r="Q13" i="33"/>
  <c r="R13" i="33" s="1"/>
  <c r="P13" i="33"/>
  <c r="P11" i="33"/>
  <c r="P14" i="33" s="1"/>
  <c r="M11" i="33"/>
  <c r="I11" i="33"/>
  <c r="K11" i="33" s="1"/>
  <c r="N11" i="33" s="1"/>
  <c r="G11" i="33"/>
  <c r="Q10" i="33"/>
  <c r="R10" i="33" s="1"/>
  <c r="P10" i="33"/>
  <c r="O10" i="33"/>
  <c r="L10" i="33"/>
  <c r="M10" i="33" s="1"/>
  <c r="I10" i="33"/>
  <c r="K10" i="33" s="1"/>
  <c r="N10" i="33" s="1"/>
  <c r="N13" i="33" s="1"/>
  <c r="G10" i="33"/>
  <c r="P9" i="33"/>
  <c r="P12" i="33" s="1"/>
  <c r="M9" i="33"/>
  <c r="I9" i="33"/>
  <c r="K9" i="33" s="1"/>
  <c r="N9" i="33" s="1"/>
  <c r="G9" i="33"/>
  <c r="H18" i="2"/>
  <c r="P14" i="2"/>
  <c r="P17" i="2" s="1"/>
  <c r="O14" i="2"/>
  <c r="L14" i="2"/>
  <c r="M14" i="2" s="1"/>
  <c r="I14" i="2"/>
  <c r="K14" i="2" s="1"/>
  <c r="N14" i="2" s="1"/>
  <c r="Q14" i="2" s="1"/>
  <c r="G14" i="2"/>
  <c r="Q13" i="2"/>
  <c r="R13" i="2" s="1"/>
  <c r="P13" i="2"/>
  <c r="P16" i="2" s="1"/>
  <c r="O13" i="2"/>
  <c r="M13" i="2"/>
  <c r="L13" i="2"/>
  <c r="I13" i="2"/>
  <c r="K13" i="2" s="1"/>
  <c r="N13" i="2" s="1"/>
  <c r="N16" i="2" s="1"/>
  <c r="G13" i="2"/>
  <c r="P12" i="2"/>
  <c r="P15" i="2" s="1"/>
  <c r="O12" i="2"/>
  <c r="L12" i="2"/>
  <c r="M12" i="2" s="1"/>
  <c r="I12" i="2"/>
  <c r="K12" i="2" s="1"/>
  <c r="N12" i="2" s="1"/>
  <c r="G12" i="2"/>
  <c r="U13" i="2"/>
  <c r="I68" i="26"/>
  <c r="N65" i="26"/>
  <c r="J65" i="26"/>
  <c r="L65" i="26" s="1"/>
  <c r="O65" i="26" s="1"/>
  <c r="P65" i="26" s="1"/>
  <c r="Q65" i="26" s="1"/>
  <c r="H65" i="26"/>
  <c r="N64" i="26"/>
  <c r="J64" i="26"/>
  <c r="L64" i="26" s="1"/>
  <c r="H64" i="26"/>
  <c r="I58" i="26"/>
  <c r="N55" i="26"/>
  <c r="J55" i="26"/>
  <c r="L55" i="26" s="1"/>
  <c r="O55" i="26" s="1"/>
  <c r="P55" i="26" s="1"/>
  <c r="Q55" i="26" s="1"/>
  <c r="H55" i="26"/>
  <c r="N54" i="26"/>
  <c r="J54" i="26"/>
  <c r="L54" i="26" s="1"/>
  <c r="O54" i="26" s="1"/>
  <c r="P54" i="26" s="1"/>
  <c r="Q54" i="26" s="1"/>
  <c r="H54" i="26"/>
  <c r="G31" i="21"/>
  <c r="I31" i="21"/>
  <c r="K31" i="21"/>
  <c r="N31" i="21" s="1"/>
  <c r="O31" i="21" s="1"/>
  <c r="P31" i="21" s="1"/>
  <c r="M31" i="21"/>
  <c r="F241" i="14"/>
  <c r="P64" i="26" l="1"/>
  <c r="N12" i="33"/>
  <c r="Q9" i="33"/>
  <c r="Q11" i="33"/>
  <c r="N14" i="33"/>
  <c r="P15" i="33"/>
  <c r="P18" i="2"/>
  <c r="Q16" i="2"/>
  <c r="R16" i="2" s="1"/>
  <c r="R14" i="2"/>
  <c r="Q17" i="2"/>
  <c r="R17" i="2" s="1"/>
  <c r="Q12" i="2"/>
  <c r="N15" i="2"/>
  <c r="N17" i="2"/>
  <c r="H72" i="26"/>
  <c r="H71" i="26"/>
  <c r="Q58" i="26"/>
  <c r="I233" i="14"/>
  <c r="I231" i="14"/>
  <c r="I229" i="14"/>
  <c r="I227" i="14"/>
  <c r="I225" i="14"/>
  <c r="H233" i="14"/>
  <c r="H231" i="14"/>
  <c r="H229" i="14"/>
  <c r="H227" i="14"/>
  <c r="H225" i="14"/>
  <c r="E233" i="14"/>
  <c r="G233" i="14" s="1"/>
  <c r="E222" i="14"/>
  <c r="G222" i="14" s="1"/>
  <c r="F209" i="14"/>
  <c r="G209" i="14" s="1"/>
  <c r="E231" i="14"/>
  <c r="G231" i="14" s="1"/>
  <c r="E229" i="14"/>
  <c r="E227" i="14"/>
  <c r="E225" i="14"/>
  <c r="G225" i="14" s="1"/>
  <c r="G229" i="14"/>
  <c r="G227" i="14"/>
  <c r="G220" i="14"/>
  <c r="G218" i="14"/>
  <c r="G216" i="14"/>
  <c r="G214" i="14"/>
  <c r="F207" i="14"/>
  <c r="G207" i="14" s="1"/>
  <c r="F205" i="14"/>
  <c r="G205" i="14" s="1"/>
  <c r="F203" i="14"/>
  <c r="G203" i="14" s="1"/>
  <c r="F201" i="14"/>
  <c r="G201" i="14" s="1"/>
  <c r="F196" i="14"/>
  <c r="G194" i="14"/>
  <c r="F192" i="14"/>
  <c r="E192" i="14"/>
  <c r="E185" i="14"/>
  <c r="G185" i="14" s="1"/>
  <c r="E191" i="14"/>
  <c r="D190" i="14"/>
  <c r="E190" i="14" s="1"/>
  <c r="E189" i="14"/>
  <c r="E184" i="14"/>
  <c r="E183" i="14"/>
  <c r="E182" i="14"/>
  <c r="M55" i="2"/>
  <c r="M56" i="2"/>
  <c r="M57" i="2"/>
  <c r="M66" i="2"/>
  <c r="M67" i="2"/>
  <c r="M68" i="2"/>
  <c r="M78" i="2"/>
  <c r="M79" i="2"/>
  <c r="M80" i="2"/>
  <c r="M90" i="2"/>
  <c r="M91" i="2"/>
  <c r="M92" i="2"/>
  <c r="P103" i="2"/>
  <c r="R103" i="2" s="1"/>
  <c r="M103" i="2"/>
  <c r="I103" i="2"/>
  <c r="K103" i="2" s="1"/>
  <c r="G103" i="2"/>
  <c r="P102" i="2"/>
  <c r="R102" i="2" s="1"/>
  <c r="M102" i="2"/>
  <c r="H104" i="2"/>
  <c r="G102" i="2"/>
  <c r="P101" i="2"/>
  <c r="R101" i="2" s="1"/>
  <c r="M101" i="2"/>
  <c r="I101" i="2"/>
  <c r="K101" i="2" s="1"/>
  <c r="G101" i="2"/>
  <c r="P92" i="2"/>
  <c r="R92" i="2" s="1"/>
  <c r="I92" i="2"/>
  <c r="K92" i="2" s="1"/>
  <c r="G92" i="2"/>
  <c r="H93" i="2"/>
  <c r="G91" i="2"/>
  <c r="P90" i="2"/>
  <c r="R90" i="2" s="1"/>
  <c r="I90" i="2"/>
  <c r="K90" i="2" s="1"/>
  <c r="G90" i="2"/>
  <c r="H81" i="2"/>
  <c r="P80" i="2"/>
  <c r="R80" i="2" s="1"/>
  <c r="I80" i="2"/>
  <c r="K80" i="2" s="1"/>
  <c r="G80" i="2"/>
  <c r="P79" i="2"/>
  <c r="R79" i="2" s="1"/>
  <c r="I79" i="2"/>
  <c r="K79" i="2" s="1"/>
  <c r="G79" i="2"/>
  <c r="P78" i="2"/>
  <c r="R78" i="2" s="1"/>
  <c r="I78" i="2"/>
  <c r="K78" i="2" s="1"/>
  <c r="G78" i="2"/>
  <c r="H67" i="2"/>
  <c r="H69" i="2" s="1"/>
  <c r="H56" i="2"/>
  <c r="P56" i="2" s="1"/>
  <c r="P68" i="2"/>
  <c r="R68" i="2" s="1"/>
  <c r="I68" i="2"/>
  <c r="K68" i="2" s="1"/>
  <c r="G68" i="2"/>
  <c r="P66" i="2"/>
  <c r="I66" i="2"/>
  <c r="K66" i="2" s="1"/>
  <c r="G66" i="2"/>
  <c r="P57" i="2"/>
  <c r="R57" i="2" s="1"/>
  <c r="I57" i="2"/>
  <c r="K57" i="2" s="1"/>
  <c r="G57" i="2"/>
  <c r="P55" i="2"/>
  <c r="I55" i="2"/>
  <c r="K55" i="2" s="1"/>
  <c r="G55" i="2"/>
  <c r="H46" i="2"/>
  <c r="P45" i="2"/>
  <c r="R45" i="2" s="1"/>
  <c r="M45" i="2"/>
  <c r="I45" i="2"/>
  <c r="K45" i="2" s="1"/>
  <c r="N45" i="2" s="1"/>
  <c r="G45" i="2"/>
  <c r="P44" i="2"/>
  <c r="R44" i="2" s="1"/>
  <c r="M44" i="2"/>
  <c r="I44" i="2"/>
  <c r="K44" i="2" s="1"/>
  <c r="G44" i="2"/>
  <c r="P43" i="2"/>
  <c r="R43" i="2" s="1"/>
  <c r="M43" i="2"/>
  <c r="I43" i="2"/>
  <c r="K43" i="2" s="1"/>
  <c r="G43" i="2"/>
  <c r="F166" i="14"/>
  <c r="G166" i="14" s="1"/>
  <c r="F164" i="14"/>
  <c r="G164" i="14" s="1"/>
  <c r="F162" i="14"/>
  <c r="G162" i="14" s="1"/>
  <c r="F160" i="14"/>
  <c r="G160" i="14" s="1"/>
  <c r="G176" i="14"/>
  <c r="G174" i="14"/>
  <c r="G172" i="14"/>
  <c r="G170" i="14"/>
  <c r="I141" i="14"/>
  <c r="D141" i="14"/>
  <c r="E141" i="14" s="1"/>
  <c r="G141" i="14" s="1"/>
  <c r="E148" i="14"/>
  <c r="G148" i="14" s="1"/>
  <c r="D149" i="14"/>
  <c r="D155" i="14"/>
  <c r="E154" i="14"/>
  <c r="G154" i="14" s="1"/>
  <c r="D136" i="14"/>
  <c r="E135" i="14"/>
  <c r="G135" i="14" s="1"/>
  <c r="G91" i="14"/>
  <c r="E123" i="14"/>
  <c r="E124" i="14"/>
  <c r="E125" i="14"/>
  <c r="E122" i="14"/>
  <c r="N73" i="26" l="1"/>
  <c r="Q64" i="26"/>
  <c r="Q68" i="26" s="1"/>
  <c r="Z70" i="26"/>
  <c r="Z67" i="26"/>
  <c r="R9" i="33"/>
  <c r="Q12" i="33"/>
  <c r="R12" i="33" s="1"/>
  <c r="R11" i="33"/>
  <c r="Q14" i="33"/>
  <c r="R14" i="33" s="1"/>
  <c r="R12" i="2"/>
  <c r="Q15" i="2"/>
  <c r="R15" i="2" s="1"/>
  <c r="P104" i="2"/>
  <c r="R81" i="2"/>
  <c r="G192" i="14"/>
  <c r="I192" i="14" s="1"/>
  <c r="N79" i="2"/>
  <c r="R104" i="2"/>
  <c r="N80" i="2"/>
  <c r="N103" i="2"/>
  <c r="N78" i="2"/>
  <c r="N90" i="2"/>
  <c r="P81" i="2"/>
  <c r="N92" i="2"/>
  <c r="N101" i="2"/>
  <c r="P91" i="2"/>
  <c r="I91" i="2"/>
  <c r="K91" i="2" s="1"/>
  <c r="I102" i="2"/>
  <c r="K102" i="2" s="1"/>
  <c r="P46" i="2"/>
  <c r="G56" i="2"/>
  <c r="G67" i="2"/>
  <c r="I56" i="2"/>
  <c r="K56" i="2" s="1"/>
  <c r="N56" i="2" s="1"/>
  <c r="I67" i="2"/>
  <c r="K67" i="2" s="1"/>
  <c r="H58" i="2"/>
  <c r="P67" i="2"/>
  <c r="R67" i="2" s="1"/>
  <c r="P69" i="2"/>
  <c r="R56" i="2"/>
  <c r="P58" i="2"/>
  <c r="N68" i="2"/>
  <c r="N66" i="2"/>
  <c r="R66" i="2"/>
  <c r="N57" i="2"/>
  <c r="R55" i="2"/>
  <c r="N55" i="2"/>
  <c r="N44" i="2"/>
  <c r="N43" i="2"/>
  <c r="G122" i="14"/>
  <c r="E118" i="14"/>
  <c r="E117" i="14"/>
  <c r="E116" i="14"/>
  <c r="E115" i="14"/>
  <c r="E111" i="14"/>
  <c r="E110" i="14"/>
  <c r="E109" i="14"/>
  <c r="E108" i="14"/>
  <c r="E103" i="14"/>
  <c r="E102" i="14"/>
  <c r="E101" i="14"/>
  <c r="E100" i="14"/>
  <c r="O69" i="27"/>
  <c r="O68" i="27"/>
  <c r="Q60" i="27"/>
  <c r="T64" i="27"/>
  <c r="F6" i="32"/>
  <c r="D6" i="32"/>
  <c r="F5" i="32"/>
  <c r="D5" i="32"/>
  <c r="F4" i="32"/>
  <c r="D4" i="32"/>
  <c r="F3" i="32"/>
  <c r="J83" i="27"/>
  <c r="H70" i="27"/>
  <c r="M67" i="27"/>
  <c r="I67" i="27"/>
  <c r="K67" i="27" s="1"/>
  <c r="N67" i="27" s="1"/>
  <c r="O67" i="27" s="1"/>
  <c r="G67" i="27"/>
  <c r="M66" i="27"/>
  <c r="I66" i="27"/>
  <c r="K66" i="27" s="1"/>
  <c r="N66" i="27" s="1"/>
  <c r="O66" i="27" s="1"/>
  <c r="G66" i="27"/>
  <c r="H59" i="27"/>
  <c r="M56" i="27"/>
  <c r="K56" i="27"/>
  <c r="N56" i="27" s="1"/>
  <c r="O56" i="27" s="1"/>
  <c r="O58" i="27" s="1"/>
  <c r="I56" i="27"/>
  <c r="G56" i="27"/>
  <c r="M55" i="27"/>
  <c r="I55" i="27"/>
  <c r="K55" i="27" s="1"/>
  <c r="N55" i="27" s="1"/>
  <c r="O55" i="27" s="1"/>
  <c r="O57" i="27" s="1"/>
  <c r="G55" i="27"/>
  <c r="U22" i="33" l="1"/>
  <c r="T24" i="33" s="1"/>
  <c r="R18" i="2"/>
  <c r="Q15" i="33"/>
  <c r="Q18" i="2"/>
  <c r="H185" i="14"/>
  <c r="G108" i="14"/>
  <c r="N102" i="2"/>
  <c r="N91" i="2"/>
  <c r="R91" i="2"/>
  <c r="R93" i="2" s="1"/>
  <c r="P93" i="2"/>
  <c r="N67" i="2"/>
  <c r="R46" i="2"/>
  <c r="R69" i="2"/>
  <c r="R58" i="2"/>
  <c r="G115" i="14"/>
  <c r="G100" i="14"/>
  <c r="P69" i="27"/>
  <c r="Q69" i="27" s="1"/>
  <c r="P67" i="27"/>
  <c r="Q67" i="27" s="1"/>
  <c r="P66" i="27"/>
  <c r="P68" i="27"/>
  <c r="Q68" i="27" s="1"/>
  <c r="P55" i="27"/>
  <c r="Q55" i="27" s="1"/>
  <c r="P57" i="27"/>
  <c r="Q57" i="27" s="1"/>
  <c r="P58" i="27"/>
  <c r="Q58" i="27" s="1"/>
  <c r="P56" i="27"/>
  <c r="Q56" i="27" s="1"/>
  <c r="Q66" i="27" l="1"/>
  <c r="P70" i="27"/>
  <c r="P59" i="27"/>
  <c r="Q59" i="27" s="1"/>
  <c r="Q70" i="27" l="1"/>
  <c r="N73" i="27"/>
  <c r="H46" i="27" l="1"/>
  <c r="H45" i="27"/>
  <c r="H49" i="27"/>
  <c r="M46" i="27"/>
  <c r="I46" i="27"/>
  <c r="K46" i="27" s="1"/>
  <c r="N46" i="27" s="1"/>
  <c r="O46" i="27" s="1"/>
  <c r="G46" i="27"/>
  <c r="M45" i="27"/>
  <c r="I45" i="27"/>
  <c r="K45" i="27" s="1"/>
  <c r="N45" i="27" s="1"/>
  <c r="O45" i="27" s="1"/>
  <c r="G45" i="27"/>
  <c r="B75" i="30"/>
  <c r="B77" i="30" s="1"/>
  <c r="B74" i="30"/>
  <c r="B76" i="30"/>
  <c r="B68" i="30"/>
  <c r="B66" i="30"/>
  <c r="B67" i="30"/>
  <c r="B65" i="30"/>
  <c r="B69" i="30" s="1"/>
  <c r="B57" i="30"/>
  <c r="B58" i="30"/>
  <c r="B59" i="30" s="1"/>
  <c r="B56" i="30"/>
  <c r="AJ44" i="27"/>
  <c r="AL30" i="27"/>
  <c r="W35" i="27"/>
  <c r="W34" i="27"/>
  <c r="M35" i="27"/>
  <c r="M34" i="27"/>
  <c r="I34" i="27"/>
  <c r="K34" i="27" s="1"/>
  <c r="N34" i="27" s="1"/>
  <c r="O34" i="27" s="1"/>
  <c r="P34" i="27" s="1"/>
  <c r="Q34" i="27" s="1"/>
  <c r="G34" i="27"/>
  <c r="P53" i="29"/>
  <c r="P52" i="29"/>
  <c r="P41" i="29"/>
  <c r="P40" i="29"/>
  <c r="P29" i="29"/>
  <c r="P28" i="29"/>
  <c r="P17" i="29"/>
  <c r="P16" i="29"/>
  <c r="L27" i="29"/>
  <c r="L26" i="29"/>
  <c r="L15" i="29"/>
  <c r="L14" i="29"/>
  <c r="H54" i="29"/>
  <c r="L51" i="29"/>
  <c r="M51" i="29" s="1"/>
  <c r="I51" i="29"/>
  <c r="K51" i="29" s="1"/>
  <c r="N51" i="29" s="1"/>
  <c r="O51" i="29" s="1"/>
  <c r="P51" i="29" s="1"/>
  <c r="G51" i="29"/>
  <c r="M50" i="29"/>
  <c r="I50" i="29"/>
  <c r="K50" i="29" s="1"/>
  <c r="N50" i="29" s="1"/>
  <c r="O50" i="29" s="1"/>
  <c r="P50" i="29" s="1"/>
  <c r="P54" i="29" s="1"/>
  <c r="G50" i="29"/>
  <c r="H42" i="29"/>
  <c r="M39" i="29"/>
  <c r="L39" i="29"/>
  <c r="I39" i="29"/>
  <c r="K39" i="29" s="1"/>
  <c r="N39" i="29" s="1"/>
  <c r="O39" i="29" s="1"/>
  <c r="P39" i="29" s="1"/>
  <c r="G39" i="29"/>
  <c r="M38" i="29"/>
  <c r="I38" i="29"/>
  <c r="K38" i="29" s="1"/>
  <c r="N38" i="29" s="1"/>
  <c r="O38" i="29" s="1"/>
  <c r="P38" i="29" s="1"/>
  <c r="G38" i="29"/>
  <c r="H30" i="29"/>
  <c r="M27" i="29"/>
  <c r="I27" i="29"/>
  <c r="K27" i="29" s="1"/>
  <c r="N27" i="29" s="1"/>
  <c r="O27" i="29" s="1"/>
  <c r="P27" i="29" s="1"/>
  <c r="G27" i="29"/>
  <c r="M26" i="29"/>
  <c r="I26" i="29"/>
  <c r="K26" i="29" s="1"/>
  <c r="N26" i="29" s="1"/>
  <c r="O26" i="29" s="1"/>
  <c r="G26" i="29"/>
  <c r="H18" i="29"/>
  <c r="M15" i="29"/>
  <c r="I15" i="29"/>
  <c r="K15" i="29" s="1"/>
  <c r="N15" i="29" s="1"/>
  <c r="O15" i="29" s="1"/>
  <c r="P15" i="29" s="1"/>
  <c r="G15" i="29"/>
  <c r="N14" i="29"/>
  <c r="O14" i="29" s="1"/>
  <c r="P14" i="29" s="1"/>
  <c r="M14" i="29"/>
  <c r="K14" i="29"/>
  <c r="I14" i="29"/>
  <c r="G14" i="29"/>
  <c r="M7" i="28"/>
  <c r="M6" i="28"/>
  <c r="H38" i="27" l="1"/>
  <c r="G35" i="27"/>
  <c r="I35" i="27"/>
  <c r="K35" i="27" s="1"/>
  <c r="N35" i="27" s="1"/>
  <c r="O35" i="27" s="1"/>
  <c r="O37" i="27" s="1"/>
  <c r="P37" i="27" s="1"/>
  <c r="Q37" i="27" s="1"/>
  <c r="O48" i="27"/>
  <c r="P48" i="27" s="1"/>
  <c r="P46" i="27"/>
  <c r="O47" i="27"/>
  <c r="P47" i="27" s="1"/>
  <c r="P45" i="27"/>
  <c r="O36" i="27"/>
  <c r="P36" i="27" s="1"/>
  <c r="Q36" i="27" s="1"/>
  <c r="P26" i="29"/>
  <c r="P42" i="29"/>
  <c r="P30" i="29"/>
  <c r="P18" i="29"/>
  <c r="I22" i="28"/>
  <c r="N19" i="28"/>
  <c r="J19" i="28"/>
  <c r="L19" i="28" s="1"/>
  <c r="O19" i="28" s="1"/>
  <c r="P19" i="28" s="1"/>
  <c r="Q19" i="28" s="1"/>
  <c r="H19" i="28"/>
  <c r="N18" i="28"/>
  <c r="J18" i="28"/>
  <c r="L18" i="28" s="1"/>
  <c r="O18" i="28" s="1"/>
  <c r="P18" i="28" s="1"/>
  <c r="Q18" i="28" s="1"/>
  <c r="H18" i="28"/>
  <c r="I10" i="28"/>
  <c r="N7" i="28"/>
  <c r="J7" i="28"/>
  <c r="L7" i="28" s="1"/>
  <c r="O7" i="28" s="1"/>
  <c r="P7" i="28" s="1"/>
  <c r="Q7" i="28" s="1"/>
  <c r="H7" i="28"/>
  <c r="N6" i="28"/>
  <c r="J6" i="28"/>
  <c r="L6" i="28" s="1"/>
  <c r="O6" i="28" s="1"/>
  <c r="P6" i="28" s="1"/>
  <c r="Q6" i="28" s="1"/>
  <c r="H6" i="28"/>
  <c r="G17" i="27"/>
  <c r="G16" i="27"/>
  <c r="G6" i="27"/>
  <c r="G5" i="27"/>
  <c r="H18" i="27"/>
  <c r="M17" i="27"/>
  <c r="I17" i="27"/>
  <c r="K17" i="27" s="1"/>
  <c r="N17" i="27" s="1"/>
  <c r="O17" i="27" s="1"/>
  <c r="P17" i="27" s="1"/>
  <c r="M16" i="27"/>
  <c r="I16" i="27"/>
  <c r="K16" i="27" s="1"/>
  <c r="N16" i="27" s="1"/>
  <c r="O16" i="27" s="1"/>
  <c r="P16" i="27" s="1"/>
  <c r="H7" i="27"/>
  <c r="M6" i="27"/>
  <c r="I6" i="27"/>
  <c r="K6" i="27" s="1"/>
  <c r="N6" i="27" s="1"/>
  <c r="O6" i="27" s="1"/>
  <c r="P6" i="27" s="1"/>
  <c r="M5" i="27"/>
  <c r="I5" i="27"/>
  <c r="K5" i="27" s="1"/>
  <c r="N5" i="27" s="1"/>
  <c r="O5" i="27" s="1"/>
  <c r="P5" i="27" s="1"/>
  <c r="M42" i="26"/>
  <c r="M20" i="26"/>
  <c r="M41" i="26"/>
  <c r="M19" i="26"/>
  <c r="P20" i="26"/>
  <c r="P19" i="26"/>
  <c r="P41" i="26"/>
  <c r="P42" i="26"/>
  <c r="J19" i="26"/>
  <c r="Q42" i="26" l="1"/>
  <c r="Q20" i="26"/>
  <c r="P35" i="27"/>
  <c r="Q35" i="27" s="1"/>
  <c r="P49" i="27"/>
  <c r="Q10" i="28"/>
  <c r="Q22" i="28"/>
  <c r="P20" i="27"/>
  <c r="P9" i="27"/>
  <c r="Q19" i="26"/>
  <c r="P38" i="27" l="1"/>
  <c r="C26" i="27"/>
  <c r="M31" i="26"/>
  <c r="N31" i="26" s="1"/>
  <c r="J31" i="26"/>
  <c r="L31" i="26" s="1"/>
  <c r="O31" i="26" s="1"/>
  <c r="H31" i="26"/>
  <c r="M30" i="26"/>
  <c r="N30" i="26" s="1"/>
  <c r="J30" i="26"/>
  <c r="L30" i="26" s="1"/>
  <c r="O30" i="26" s="1"/>
  <c r="H30" i="26"/>
  <c r="M9" i="26"/>
  <c r="N9" i="26" s="1"/>
  <c r="M8" i="26"/>
  <c r="N8" i="26" s="1"/>
  <c r="I45" i="26"/>
  <c r="H41" i="26"/>
  <c r="I34" i="26"/>
  <c r="I23" i="26"/>
  <c r="L20" i="26"/>
  <c r="L19" i="26"/>
  <c r="H19" i="26"/>
  <c r="I12" i="26"/>
  <c r="J9" i="26"/>
  <c r="L9" i="26" s="1"/>
  <c r="O9" i="26" s="1"/>
  <c r="H9" i="26"/>
  <c r="J8" i="26"/>
  <c r="L8" i="26" s="1"/>
  <c r="O8" i="26" s="1"/>
  <c r="H8" i="26"/>
  <c r="M39" i="5"/>
  <c r="M31" i="5"/>
  <c r="H40" i="5"/>
  <c r="I39" i="5"/>
  <c r="K39" i="5" s="1"/>
  <c r="N39" i="5" s="1"/>
  <c r="G39" i="5"/>
  <c r="H32" i="5"/>
  <c r="I31" i="5"/>
  <c r="K31" i="5" s="1"/>
  <c r="N31" i="5" s="1"/>
  <c r="G31" i="5"/>
  <c r="Q38" i="27" l="1"/>
  <c r="T42" i="27"/>
  <c r="P31" i="26"/>
  <c r="Q31" i="26" s="1"/>
  <c r="Q41" i="26"/>
  <c r="P30" i="26"/>
  <c r="Q30" i="26" s="1"/>
  <c r="P8" i="26"/>
  <c r="Q8" i="26" s="1"/>
  <c r="P9" i="26"/>
  <c r="Q9" i="26" s="1"/>
  <c r="O39" i="5"/>
  <c r="P39" i="5" s="1"/>
  <c r="P40" i="5" s="1"/>
  <c r="O31" i="5"/>
  <c r="P31" i="5" s="1"/>
  <c r="P32" i="5" s="1"/>
  <c r="G5" i="5"/>
  <c r="W61" i="20"/>
  <c r="R71" i="20"/>
  <c r="N86" i="20"/>
  <c r="M86" i="20" s="1"/>
  <c r="J86" i="20"/>
  <c r="L86" i="20" s="1"/>
  <c r="H86" i="20"/>
  <c r="I88" i="20"/>
  <c r="M85" i="20"/>
  <c r="J85" i="20"/>
  <c r="L85" i="20" s="1"/>
  <c r="H85" i="20"/>
  <c r="Q45" i="26" l="1"/>
  <c r="Q23" i="26"/>
  <c r="Q12" i="26"/>
  <c r="O86" i="20"/>
  <c r="T73" i="20" s="1"/>
  <c r="O85" i="20"/>
  <c r="Q85" i="20" s="1"/>
  <c r="P85" i="20" l="1"/>
  <c r="O87" i="20"/>
  <c r="Q87" i="20" s="1"/>
  <c r="Q34" i="26"/>
  <c r="P86" i="20"/>
  <c r="Q86" i="20"/>
  <c r="P87" i="20" l="1"/>
  <c r="Q88" i="20"/>
  <c r="E34" i="25"/>
  <c r="E26" i="25"/>
  <c r="O12" i="25"/>
  <c r="T11" i="25"/>
  <c r="P11" i="25"/>
  <c r="R11" i="25" s="1"/>
  <c r="U11" i="25" s="1"/>
  <c r="V11" i="25" s="1"/>
  <c r="W11" i="25" s="1"/>
  <c r="N11" i="25"/>
  <c r="T10" i="25"/>
  <c r="P10" i="25"/>
  <c r="R10" i="25" s="1"/>
  <c r="U10" i="25" s="1"/>
  <c r="V10" i="25" s="1"/>
  <c r="W10" i="25" s="1"/>
  <c r="N10" i="25"/>
  <c r="W12" i="25" l="1"/>
  <c r="I40" i="20"/>
  <c r="N39" i="20"/>
  <c r="J39" i="20"/>
  <c r="L39" i="20" s="1"/>
  <c r="O39" i="20" s="1"/>
  <c r="P39" i="20" s="1"/>
  <c r="Q39" i="20" s="1"/>
  <c r="N38" i="20"/>
  <c r="J38" i="20"/>
  <c r="L38" i="20" s="1"/>
  <c r="O38" i="20" s="1"/>
  <c r="P38" i="20" s="1"/>
  <c r="Q38" i="20" s="1"/>
  <c r="E47" i="13"/>
  <c r="E48" i="13"/>
  <c r="E49" i="13"/>
  <c r="E46" i="13"/>
  <c r="E39" i="13"/>
  <c r="E40" i="13"/>
  <c r="E41" i="13"/>
  <c r="E38" i="13"/>
  <c r="E5" i="25" l="1"/>
  <c r="E14" i="25"/>
  <c r="Q40" i="20"/>
  <c r="I104" i="20"/>
  <c r="M101" i="20"/>
  <c r="J101" i="20"/>
  <c r="L101" i="20" s="1"/>
  <c r="O101" i="20" s="1"/>
  <c r="T89" i="20" s="1"/>
  <c r="H101" i="20"/>
  <c r="M100" i="20"/>
  <c r="J100" i="20"/>
  <c r="L100" i="20" s="1"/>
  <c r="O100" i="20" s="1"/>
  <c r="H100" i="20"/>
  <c r="L13" i="21"/>
  <c r="F9" i="23"/>
  <c r="F8" i="23"/>
  <c r="F10" i="23" s="1"/>
  <c r="C9" i="23"/>
  <c r="B9" i="23"/>
  <c r="C8" i="23"/>
  <c r="C10" i="23" s="1"/>
  <c r="B8" i="23"/>
  <c r="B10" i="23" s="1"/>
  <c r="O103" i="20" l="1"/>
  <c r="Q101" i="20"/>
  <c r="P101" i="20"/>
  <c r="P100" i="20"/>
  <c r="Q100" i="20"/>
  <c r="O102" i="20"/>
  <c r="F11" i="23"/>
  <c r="F12" i="23" s="1"/>
  <c r="B11" i="23"/>
  <c r="C11" i="23"/>
  <c r="Q102" i="20" l="1"/>
  <c r="P102" i="20"/>
  <c r="Q103" i="20"/>
  <c r="P103" i="20"/>
  <c r="B12" i="23"/>
  <c r="Q104" i="20" l="1"/>
  <c r="S15" i="22"/>
  <c r="H30" i="22"/>
  <c r="L27" i="22"/>
  <c r="I27" i="22"/>
  <c r="K27" i="22" s="1"/>
  <c r="N27" i="22" s="1"/>
  <c r="G27" i="22"/>
  <c r="L26" i="22"/>
  <c r="I26" i="22"/>
  <c r="K26" i="22" s="1"/>
  <c r="N26" i="22" s="1"/>
  <c r="G26" i="22"/>
  <c r="H20" i="22"/>
  <c r="M17" i="22"/>
  <c r="I17" i="22"/>
  <c r="K17" i="22" s="1"/>
  <c r="N17" i="22" s="1"/>
  <c r="G17" i="22"/>
  <c r="M16" i="22"/>
  <c r="I16" i="22"/>
  <c r="K16" i="22" s="1"/>
  <c r="N16" i="22" s="1"/>
  <c r="G16" i="22"/>
  <c r="H10" i="22"/>
  <c r="M7" i="22"/>
  <c r="I7" i="22"/>
  <c r="K7" i="22" s="1"/>
  <c r="N7" i="22" s="1"/>
  <c r="N9" i="22" s="1"/>
  <c r="G7" i="22"/>
  <c r="L6" i="22"/>
  <c r="M6" i="22" s="1"/>
  <c r="I6" i="22"/>
  <c r="K6" i="22" s="1"/>
  <c r="N6" i="22" s="1"/>
  <c r="N8" i="22" s="1"/>
  <c r="G6" i="22"/>
  <c r="R258" i="1"/>
  <c r="S248" i="1"/>
  <c r="M250" i="1"/>
  <c r="L250" i="1" s="1"/>
  <c r="R250" i="1"/>
  <c r="H253" i="1"/>
  <c r="I250" i="1"/>
  <c r="K250" i="1" s="1"/>
  <c r="N250" i="1" s="1"/>
  <c r="G250" i="1"/>
  <c r="M249" i="1"/>
  <c r="I249" i="1"/>
  <c r="K249" i="1" s="1"/>
  <c r="N249" i="1" s="1"/>
  <c r="G249" i="1"/>
  <c r="M319" i="1"/>
  <c r="L305" i="1"/>
  <c r="M305" i="1" s="1"/>
  <c r="M304" i="1"/>
  <c r="M318" i="1"/>
  <c r="M317" i="1"/>
  <c r="M303" i="1"/>
  <c r="H323" i="1"/>
  <c r="I319" i="1"/>
  <c r="K319" i="1" s="1"/>
  <c r="N319" i="1" s="1"/>
  <c r="G319" i="1"/>
  <c r="I318" i="1"/>
  <c r="K318" i="1" s="1"/>
  <c r="N318" i="1" s="1"/>
  <c r="O318" i="1" s="1"/>
  <c r="G318" i="1"/>
  <c r="I317" i="1"/>
  <c r="K317" i="1" s="1"/>
  <c r="N317" i="1" s="1"/>
  <c r="G317" i="1"/>
  <c r="H309" i="1"/>
  <c r="I305" i="1"/>
  <c r="K305" i="1" s="1"/>
  <c r="N305" i="1" s="1"/>
  <c r="G305" i="1"/>
  <c r="I304" i="1"/>
  <c r="K304" i="1" s="1"/>
  <c r="N304" i="1" s="1"/>
  <c r="O304" i="1" s="1"/>
  <c r="G304" i="1"/>
  <c r="I303" i="1"/>
  <c r="K303" i="1" s="1"/>
  <c r="N303" i="1" s="1"/>
  <c r="G303" i="1"/>
  <c r="H294" i="1"/>
  <c r="L290" i="1"/>
  <c r="I290" i="1"/>
  <c r="K290" i="1" s="1"/>
  <c r="N290" i="1" s="1"/>
  <c r="G290" i="1"/>
  <c r="L289" i="1"/>
  <c r="I289" i="1"/>
  <c r="K289" i="1" s="1"/>
  <c r="N289" i="1" s="1"/>
  <c r="O289" i="1" s="1"/>
  <c r="G289" i="1"/>
  <c r="L288" i="1"/>
  <c r="I288" i="1"/>
  <c r="K288" i="1" s="1"/>
  <c r="N288" i="1" s="1"/>
  <c r="G288" i="1"/>
  <c r="I275" i="1"/>
  <c r="K275" i="1" s="1"/>
  <c r="N275" i="1" s="1"/>
  <c r="O275" i="1" s="1"/>
  <c r="G275" i="1"/>
  <c r="H280" i="1"/>
  <c r="I276" i="1"/>
  <c r="K276" i="1" s="1"/>
  <c r="N276" i="1" s="1"/>
  <c r="N278" i="1" s="1"/>
  <c r="P278" i="1" s="1"/>
  <c r="G276" i="1"/>
  <c r="I274" i="1"/>
  <c r="K274" i="1" s="1"/>
  <c r="N274" i="1" s="1"/>
  <c r="G274" i="1"/>
  <c r="N28" i="22" l="1"/>
  <c r="O26" i="22"/>
  <c r="P26" i="22" s="1"/>
  <c r="N18" i="22"/>
  <c r="O16" i="22"/>
  <c r="P16" i="22" s="1"/>
  <c r="N29" i="22"/>
  <c r="O27" i="22"/>
  <c r="P27" i="22" s="1"/>
  <c r="N19" i="22"/>
  <c r="O17" i="22"/>
  <c r="P17" i="22" s="1"/>
  <c r="P8" i="22"/>
  <c r="O8" i="22"/>
  <c r="P9" i="22"/>
  <c r="O9" i="22"/>
  <c r="O6" i="22"/>
  <c r="P6" i="22" s="1"/>
  <c r="O7" i="22"/>
  <c r="P7" i="22" s="1"/>
  <c r="O249" i="1"/>
  <c r="P249" i="1" s="1"/>
  <c r="N251" i="1"/>
  <c r="O250" i="1"/>
  <c r="P250" i="1" s="1"/>
  <c r="N252" i="1"/>
  <c r="P304" i="1"/>
  <c r="P318" i="1"/>
  <c r="N306" i="1"/>
  <c r="O303" i="1"/>
  <c r="P303" i="1" s="1"/>
  <c r="N308" i="1"/>
  <c r="O305" i="1"/>
  <c r="P305" i="1" s="1"/>
  <c r="N307" i="1"/>
  <c r="N321" i="1"/>
  <c r="N322" i="1"/>
  <c r="O319" i="1"/>
  <c r="P319" i="1" s="1"/>
  <c r="O317" i="1"/>
  <c r="P317" i="1" s="1"/>
  <c r="N320" i="1"/>
  <c r="P289" i="1"/>
  <c r="P275" i="1"/>
  <c r="N293" i="1"/>
  <c r="O290" i="1"/>
  <c r="P290" i="1" s="1"/>
  <c r="N292" i="1"/>
  <c r="N291" i="1"/>
  <c r="O288" i="1"/>
  <c r="P288" i="1" s="1"/>
  <c r="O278" i="1"/>
  <c r="O274" i="1"/>
  <c r="P274" i="1" s="1"/>
  <c r="N277" i="1"/>
  <c r="O276" i="1"/>
  <c r="P276" i="1" s="1"/>
  <c r="N279" i="1"/>
  <c r="M260" i="1"/>
  <c r="L260" i="1" s="1"/>
  <c r="L259" i="1"/>
  <c r="H263" i="1"/>
  <c r="I260" i="1"/>
  <c r="K260" i="1" s="1"/>
  <c r="N260" i="1" s="1"/>
  <c r="G260" i="1"/>
  <c r="I259" i="1"/>
  <c r="K259" i="1" s="1"/>
  <c r="N259" i="1" s="1"/>
  <c r="G259" i="1"/>
  <c r="L239" i="1"/>
  <c r="M239" i="1" s="1"/>
  <c r="H243" i="1"/>
  <c r="M240" i="1"/>
  <c r="I240" i="1"/>
  <c r="K240" i="1" s="1"/>
  <c r="N240" i="1" s="1"/>
  <c r="G240" i="1"/>
  <c r="I239" i="1"/>
  <c r="K239" i="1" s="1"/>
  <c r="N239" i="1" s="1"/>
  <c r="G239" i="1"/>
  <c r="N50" i="20"/>
  <c r="I15" i="20"/>
  <c r="N12" i="20"/>
  <c r="J12" i="20"/>
  <c r="L12" i="20" s="1"/>
  <c r="O12" i="20" s="1"/>
  <c r="N11" i="20"/>
  <c r="J11" i="20"/>
  <c r="L11" i="20" s="1"/>
  <c r="O11" i="20" s="1"/>
  <c r="H50" i="20"/>
  <c r="H15" i="5"/>
  <c r="M13" i="5"/>
  <c r="I13" i="5"/>
  <c r="K13" i="5" s="1"/>
  <c r="N13" i="5" s="1"/>
  <c r="G13" i="5"/>
  <c r="I79" i="20"/>
  <c r="N78" i="20"/>
  <c r="J78" i="20"/>
  <c r="L78" i="20" s="1"/>
  <c r="O78" i="20" s="1"/>
  <c r="P78" i="20" s="1"/>
  <c r="Q78" i="20" s="1"/>
  <c r="H78" i="20"/>
  <c r="N77" i="20"/>
  <c r="J77" i="20"/>
  <c r="L77" i="20" s="1"/>
  <c r="O77" i="20" s="1"/>
  <c r="P77" i="20" s="1"/>
  <c r="Q77" i="20" s="1"/>
  <c r="H77" i="20"/>
  <c r="M228" i="1"/>
  <c r="L228" i="1" s="1"/>
  <c r="M227" i="1"/>
  <c r="L227" i="1" s="1"/>
  <c r="H231" i="1"/>
  <c r="I228" i="1"/>
  <c r="K228" i="1" s="1"/>
  <c r="N228" i="1" s="1"/>
  <c r="G228" i="1"/>
  <c r="I227" i="1"/>
  <c r="K227" i="1" s="1"/>
  <c r="N227" i="1" s="1"/>
  <c r="G227" i="1"/>
  <c r="L176" i="21"/>
  <c r="H177" i="21"/>
  <c r="I176" i="21"/>
  <c r="K176" i="21" s="1"/>
  <c r="N176" i="21" s="1"/>
  <c r="O176" i="21" s="1"/>
  <c r="G176" i="21"/>
  <c r="L175" i="21"/>
  <c r="I175" i="21"/>
  <c r="K175" i="21" s="1"/>
  <c r="N175" i="21" s="1"/>
  <c r="O175" i="21" s="1"/>
  <c r="G175" i="21"/>
  <c r="H169" i="21"/>
  <c r="M168" i="21"/>
  <c r="I168" i="21"/>
  <c r="K168" i="21" s="1"/>
  <c r="N168" i="21" s="1"/>
  <c r="O168" i="21" s="1"/>
  <c r="P168" i="21" s="1"/>
  <c r="G168" i="21"/>
  <c r="M167" i="21"/>
  <c r="I167" i="21"/>
  <c r="K167" i="21" s="1"/>
  <c r="N167" i="21" s="1"/>
  <c r="O167" i="21" s="1"/>
  <c r="P167" i="21" s="1"/>
  <c r="G167" i="21"/>
  <c r="H161" i="21"/>
  <c r="M160" i="21"/>
  <c r="I160" i="21"/>
  <c r="K160" i="21" s="1"/>
  <c r="N160" i="21" s="1"/>
  <c r="O160" i="21" s="1"/>
  <c r="P160" i="21" s="1"/>
  <c r="G160" i="21"/>
  <c r="M159" i="21"/>
  <c r="I159" i="21"/>
  <c r="K159" i="21" s="1"/>
  <c r="N159" i="21" s="1"/>
  <c r="O159" i="21" s="1"/>
  <c r="P159" i="21" s="1"/>
  <c r="G159" i="21"/>
  <c r="L151" i="21"/>
  <c r="L150" i="21"/>
  <c r="L126" i="21"/>
  <c r="L125" i="21"/>
  <c r="L101" i="21"/>
  <c r="L100" i="21"/>
  <c r="L74" i="21"/>
  <c r="L73" i="21"/>
  <c r="L48" i="21"/>
  <c r="L47" i="21"/>
  <c r="L22" i="21"/>
  <c r="L21" i="21"/>
  <c r="M135" i="21"/>
  <c r="M134" i="21"/>
  <c r="M110" i="21"/>
  <c r="M109" i="21"/>
  <c r="M85" i="21"/>
  <c r="M84" i="21"/>
  <c r="M58" i="21"/>
  <c r="M57" i="21"/>
  <c r="M32" i="21"/>
  <c r="M6" i="21"/>
  <c r="M5" i="21"/>
  <c r="H152" i="21"/>
  <c r="I151" i="21"/>
  <c r="K151" i="21" s="1"/>
  <c r="N151" i="21" s="1"/>
  <c r="O151" i="21" s="1"/>
  <c r="G151" i="21"/>
  <c r="I150" i="21"/>
  <c r="K150" i="21" s="1"/>
  <c r="N150" i="21" s="1"/>
  <c r="O150" i="21" s="1"/>
  <c r="G150" i="21"/>
  <c r="H144" i="21"/>
  <c r="M143" i="21"/>
  <c r="I143" i="21"/>
  <c r="K143" i="21" s="1"/>
  <c r="N143" i="21" s="1"/>
  <c r="O143" i="21" s="1"/>
  <c r="P143" i="21" s="1"/>
  <c r="G143" i="21"/>
  <c r="M142" i="21"/>
  <c r="I142" i="21"/>
  <c r="K142" i="21" s="1"/>
  <c r="N142" i="21" s="1"/>
  <c r="O142" i="21" s="1"/>
  <c r="P142" i="21" s="1"/>
  <c r="G142" i="21"/>
  <c r="H136" i="21"/>
  <c r="I135" i="21"/>
  <c r="K135" i="21" s="1"/>
  <c r="N135" i="21" s="1"/>
  <c r="O135" i="21" s="1"/>
  <c r="P135" i="21" s="1"/>
  <c r="G135" i="21"/>
  <c r="I134" i="21"/>
  <c r="K134" i="21" s="1"/>
  <c r="N134" i="21" s="1"/>
  <c r="O134" i="21" s="1"/>
  <c r="P134" i="21" s="1"/>
  <c r="G134" i="21"/>
  <c r="H127" i="21"/>
  <c r="I126" i="21"/>
  <c r="K126" i="21" s="1"/>
  <c r="N126" i="21" s="1"/>
  <c r="O126" i="21" s="1"/>
  <c r="G126" i="21"/>
  <c r="I125" i="21"/>
  <c r="K125" i="21" s="1"/>
  <c r="N125" i="21" s="1"/>
  <c r="O125" i="21" s="1"/>
  <c r="G125" i="21"/>
  <c r="H119" i="21"/>
  <c r="M118" i="21"/>
  <c r="I118" i="21"/>
  <c r="K118" i="21" s="1"/>
  <c r="N118" i="21" s="1"/>
  <c r="O118" i="21" s="1"/>
  <c r="P118" i="21" s="1"/>
  <c r="G118" i="21"/>
  <c r="M117" i="21"/>
  <c r="I117" i="21"/>
  <c r="K117" i="21" s="1"/>
  <c r="N117" i="21" s="1"/>
  <c r="O117" i="21" s="1"/>
  <c r="P117" i="21" s="1"/>
  <c r="G117" i="21"/>
  <c r="H102" i="21"/>
  <c r="I101" i="21"/>
  <c r="K101" i="21" s="1"/>
  <c r="N101" i="21" s="1"/>
  <c r="O101" i="21" s="1"/>
  <c r="G101" i="21"/>
  <c r="I100" i="21"/>
  <c r="K100" i="21" s="1"/>
  <c r="N100" i="21" s="1"/>
  <c r="O100" i="21" s="1"/>
  <c r="G100" i="21"/>
  <c r="H94" i="21"/>
  <c r="M93" i="21"/>
  <c r="I93" i="21"/>
  <c r="K93" i="21" s="1"/>
  <c r="N93" i="21" s="1"/>
  <c r="O93" i="21" s="1"/>
  <c r="P93" i="21" s="1"/>
  <c r="G93" i="21"/>
  <c r="M92" i="21"/>
  <c r="I92" i="21"/>
  <c r="K92" i="21" s="1"/>
  <c r="N92" i="21" s="1"/>
  <c r="O92" i="21" s="1"/>
  <c r="P92" i="21" s="1"/>
  <c r="G92" i="21"/>
  <c r="H75" i="21"/>
  <c r="I74" i="21"/>
  <c r="K74" i="21" s="1"/>
  <c r="N74" i="21" s="1"/>
  <c r="O74" i="21" s="1"/>
  <c r="G74" i="21"/>
  <c r="I73" i="21"/>
  <c r="K73" i="21" s="1"/>
  <c r="N73" i="21" s="1"/>
  <c r="O73" i="21" s="1"/>
  <c r="G73" i="21"/>
  <c r="H67" i="21"/>
  <c r="M66" i="21"/>
  <c r="I66" i="21"/>
  <c r="K66" i="21" s="1"/>
  <c r="N66" i="21" s="1"/>
  <c r="O66" i="21" s="1"/>
  <c r="P66" i="21" s="1"/>
  <c r="G66" i="21"/>
  <c r="M65" i="21"/>
  <c r="I65" i="21"/>
  <c r="K65" i="21" s="1"/>
  <c r="N65" i="21" s="1"/>
  <c r="O65" i="21" s="1"/>
  <c r="P65" i="21" s="1"/>
  <c r="G65" i="21"/>
  <c r="H49" i="21"/>
  <c r="I48" i="21"/>
  <c r="K48" i="21" s="1"/>
  <c r="N48" i="21" s="1"/>
  <c r="O48" i="21" s="1"/>
  <c r="G48" i="21"/>
  <c r="I47" i="21"/>
  <c r="K47" i="21" s="1"/>
  <c r="N47" i="21" s="1"/>
  <c r="O47" i="21" s="1"/>
  <c r="G47" i="21"/>
  <c r="H41" i="21"/>
  <c r="M40" i="21"/>
  <c r="I40" i="21"/>
  <c r="K40" i="21" s="1"/>
  <c r="N40" i="21" s="1"/>
  <c r="O40" i="21" s="1"/>
  <c r="P40" i="21" s="1"/>
  <c r="G40" i="21"/>
  <c r="M39" i="21"/>
  <c r="I39" i="21"/>
  <c r="K39" i="21" s="1"/>
  <c r="N39" i="21" s="1"/>
  <c r="O39" i="21" s="1"/>
  <c r="P39" i="21" s="1"/>
  <c r="G39" i="21"/>
  <c r="H23" i="21"/>
  <c r="I22" i="21"/>
  <c r="K22" i="21" s="1"/>
  <c r="N22" i="21" s="1"/>
  <c r="G22" i="21"/>
  <c r="I21" i="21"/>
  <c r="K21" i="21" s="1"/>
  <c r="N21" i="21" s="1"/>
  <c r="G21" i="21"/>
  <c r="H15" i="21"/>
  <c r="M14" i="21"/>
  <c r="I14" i="21"/>
  <c r="K14" i="21" s="1"/>
  <c r="N14" i="21" s="1"/>
  <c r="O14" i="21" s="1"/>
  <c r="P14" i="21" s="1"/>
  <c r="G14" i="21"/>
  <c r="I13" i="21"/>
  <c r="K13" i="21" s="1"/>
  <c r="N13" i="21" s="1"/>
  <c r="O13" i="21" s="1"/>
  <c r="P13" i="21" s="1"/>
  <c r="G13" i="21"/>
  <c r="H111" i="21"/>
  <c r="I110" i="21"/>
  <c r="K110" i="21" s="1"/>
  <c r="N110" i="21" s="1"/>
  <c r="O110" i="21" s="1"/>
  <c r="P110" i="21" s="1"/>
  <c r="G110" i="21"/>
  <c r="I109" i="21"/>
  <c r="K109" i="21" s="1"/>
  <c r="N109" i="21" s="1"/>
  <c r="O109" i="21" s="1"/>
  <c r="P109" i="21" s="1"/>
  <c r="G109" i="21"/>
  <c r="H86" i="21"/>
  <c r="I85" i="21"/>
  <c r="K85" i="21" s="1"/>
  <c r="N85" i="21" s="1"/>
  <c r="O85" i="21" s="1"/>
  <c r="P85" i="21" s="1"/>
  <c r="G85" i="21"/>
  <c r="I84" i="21"/>
  <c r="K84" i="21" s="1"/>
  <c r="N84" i="21" s="1"/>
  <c r="O84" i="21" s="1"/>
  <c r="P84" i="21" s="1"/>
  <c r="G84" i="21"/>
  <c r="H59" i="21"/>
  <c r="I58" i="21"/>
  <c r="K58" i="21" s="1"/>
  <c r="N58" i="21" s="1"/>
  <c r="O58" i="21" s="1"/>
  <c r="P58" i="21" s="1"/>
  <c r="G58" i="21"/>
  <c r="I57" i="21"/>
  <c r="K57" i="21" s="1"/>
  <c r="N57" i="21" s="1"/>
  <c r="O57" i="21" s="1"/>
  <c r="P57" i="21" s="1"/>
  <c r="G57" i="21"/>
  <c r="H33" i="21"/>
  <c r="I32" i="21"/>
  <c r="K32" i="21" s="1"/>
  <c r="N32" i="21" s="1"/>
  <c r="O32" i="21" s="1"/>
  <c r="P32" i="21" s="1"/>
  <c r="G32" i="21"/>
  <c r="H7" i="21"/>
  <c r="I6" i="21"/>
  <c r="K6" i="21" s="1"/>
  <c r="N6" i="21" s="1"/>
  <c r="G6" i="21"/>
  <c r="I5" i="21"/>
  <c r="K5" i="21" s="1"/>
  <c r="N5" i="21" s="1"/>
  <c r="G5" i="21"/>
  <c r="I52" i="20"/>
  <c r="N51" i="20"/>
  <c r="J51" i="20"/>
  <c r="L51" i="20" s="1"/>
  <c r="O51" i="20" s="1"/>
  <c r="P51" i="20" s="1"/>
  <c r="Q51" i="20" s="1"/>
  <c r="H51" i="20"/>
  <c r="J50" i="20"/>
  <c r="L50" i="20" s="1"/>
  <c r="P61" i="20"/>
  <c r="I61" i="20"/>
  <c r="J60" i="20"/>
  <c r="L60" i="20" s="1"/>
  <c r="Q60" i="20" s="1"/>
  <c r="H60" i="20"/>
  <c r="M14" i="3"/>
  <c r="L7" i="3"/>
  <c r="L6" i="3"/>
  <c r="D20" i="3"/>
  <c r="D19" i="3"/>
  <c r="D18" i="3"/>
  <c r="D17" i="3"/>
  <c r="C16" i="3"/>
  <c r="D16" i="3" s="1"/>
  <c r="G6" i="3"/>
  <c r="G13" i="3"/>
  <c r="H15" i="3"/>
  <c r="I14" i="3"/>
  <c r="K14" i="3" s="1"/>
  <c r="N14" i="3" s="1"/>
  <c r="O14" i="3" s="1"/>
  <c r="G14" i="3"/>
  <c r="M13" i="3"/>
  <c r="I13" i="3"/>
  <c r="K13" i="3" s="1"/>
  <c r="N13" i="3" s="1"/>
  <c r="O13" i="3" s="1"/>
  <c r="P13" i="3" s="1"/>
  <c r="M83" i="15"/>
  <c r="L83" i="15" s="1"/>
  <c r="I83" i="15"/>
  <c r="K83" i="15" s="1"/>
  <c r="N83" i="15" s="1"/>
  <c r="G83" i="15"/>
  <c r="L82" i="15"/>
  <c r="I82" i="15"/>
  <c r="K82" i="15" s="1"/>
  <c r="N82" i="15" s="1"/>
  <c r="G82" i="15"/>
  <c r="L61" i="15"/>
  <c r="M61" i="15" s="1"/>
  <c r="H72" i="15"/>
  <c r="M71" i="15"/>
  <c r="I71" i="15"/>
  <c r="K71" i="15" s="1"/>
  <c r="N71" i="15" s="1"/>
  <c r="O71" i="15" s="1"/>
  <c r="P71" i="15" s="1"/>
  <c r="G71" i="15"/>
  <c r="M70" i="15"/>
  <c r="I70" i="15"/>
  <c r="K70" i="15" s="1"/>
  <c r="N70" i="15" s="1"/>
  <c r="O70" i="15" s="1"/>
  <c r="P70" i="15" s="1"/>
  <c r="G70" i="15"/>
  <c r="L35" i="15"/>
  <c r="M35" i="15" s="1"/>
  <c r="M53" i="15"/>
  <c r="L53" i="15" s="1"/>
  <c r="M44" i="15"/>
  <c r="L44" i="15" s="1"/>
  <c r="H63" i="15"/>
  <c r="M62" i="15"/>
  <c r="I62" i="15"/>
  <c r="K62" i="15" s="1"/>
  <c r="N62" i="15" s="1"/>
  <c r="O62" i="15" s="1"/>
  <c r="P62" i="15" s="1"/>
  <c r="G62" i="15"/>
  <c r="I61" i="15"/>
  <c r="K61" i="15" s="1"/>
  <c r="N61" i="15" s="1"/>
  <c r="O61" i="15" s="1"/>
  <c r="G61" i="15"/>
  <c r="H54" i="15"/>
  <c r="I53" i="15"/>
  <c r="K53" i="15" s="1"/>
  <c r="N53" i="15" s="1"/>
  <c r="G53" i="15"/>
  <c r="L52" i="15"/>
  <c r="I52" i="15"/>
  <c r="K52" i="15" s="1"/>
  <c r="N52" i="15" s="1"/>
  <c r="G52" i="15"/>
  <c r="H45" i="15"/>
  <c r="I44" i="15"/>
  <c r="K44" i="15" s="1"/>
  <c r="N44" i="15" s="1"/>
  <c r="G44" i="15"/>
  <c r="M43" i="15"/>
  <c r="L43" i="15" s="1"/>
  <c r="I43" i="15"/>
  <c r="K43" i="15" s="1"/>
  <c r="N43" i="15" s="1"/>
  <c r="G43" i="15"/>
  <c r="H36" i="15"/>
  <c r="I35" i="15"/>
  <c r="K35" i="15" s="1"/>
  <c r="N35" i="15" s="1"/>
  <c r="G35" i="15"/>
  <c r="M34" i="15"/>
  <c r="I34" i="15"/>
  <c r="K34" i="15" s="1"/>
  <c r="N34" i="15" s="1"/>
  <c r="G34" i="15"/>
  <c r="M15" i="15"/>
  <c r="L15" i="15" s="1"/>
  <c r="H26" i="15"/>
  <c r="L25" i="15"/>
  <c r="I25" i="15"/>
  <c r="K25" i="15" s="1"/>
  <c r="N25" i="15" s="1"/>
  <c r="G25" i="15"/>
  <c r="L24" i="15"/>
  <c r="I24" i="15"/>
  <c r="K24" i="15" s="1"/>
  <c r="N24" i="15" s="1"/>
  <c r="G24" i="15"/>
  <c r="H17" i="15"/>
  <c r="L16" i="15"/>
  <c r="I16" i="15"/>
  <c r="K16" i="15" s="1"/>
  <c r="N16" i="15" s="1"/>
  <c r="G16" i="15"/>
  <c r="I15" i="15"/>
  <c r="K15" i="15" s="1"/>
  <c r="N15" i="15" s="1"/>
  <c r="G15" i="15"/>
  <c r="M6" i="15"/>
  <c r="M7" i="15"/>
  <c r="H8" i="15"/>
  <c r="I7" i="15"/>
  <c r="K7" i="15" s="1"/>
  <c r="N7" i="15" s="1"/>
  <c r="G7" i="15"/>
  <c r="I6" i="15"/>
  <c r="K6" i="15" s="1"/>
  <c r="N6" i="15" s="1"/>
  <c r="G6" i="15"/>
  <c r="P12" i="20" l="1"/>
  <c r="O14" i="20"/>
  <c r="P11" i="20"/>
  <c r="O13" i="20"/>
  <c r="P100" i="21"/>
  <c r="P111" i="21"/>
  <c r="Q108" i="21" s="1"/>
  <c r="P136" i="21"/>
  <c r="Q133" i="21" s="1"/>
  <c r="P161" i="21"/>
  <c r="Q158" i="21" s="1"/>
  <c r="E16" i="3"/>
  <c r="P175" i="21"/>
  <c r="E19" i="3"/>
  <c r="P33" i="21"/>
  <c r="Q30" i="21" s="1"/>
  <c r="P47" i="21"/>
  <c r="P67" i="21"/>
  <c r="P150" i="21"/>
  <c r="P59" i="21"/>
  <c r="Q56" i="21" s="1"/>
  <c r="P86" i="21"/>
  <c r="Q83" i="21" s="1"/>
  <c r="P73" i="21"/>
  <c r="O19" i="22"/>
  <c r="P19" i="22"/>
  <c r="P10" i="22"/>
  <c r="P29" i="22"/>
  <c r="O29" i="22"/>
  <c r="P18" i="22"/>
  <c r="O18" i="22"/>
  <c r="P28" i="22"/>
  <c r="O28" i="22"/>
  <c r="P252" i="1"/>
  <c r="O252" i="1"/>
  <c r="P251" i="1"/>
  <c r="P253" i="1" s="1"/>
  <c r="O251" i="1"/>
  <c r="O322" i="1"/>
  <c r="P322" i="1"/>
  <c r="P321" i="1"/>
  <c r="O321" i="1"/>
  <c r="P307" i="1"/>
  <c r="O307" i="1"/>
  <c r="O308" i="1"/>
  <c r="P308" i="1"/>
  <c r="P320" i="1"/>
  <c r="O320" i="1"/>
  <c r="P306" i="1"/>
  <c r="O306" i="1"/>
  <c r="P291" i="1"/>
  <c r="O291" i="1"/>
  <c r="O292" i="1"/>
  <c r="P292" i="1"/>
  <c r="P293" i="1"/>
  <c r="O293" i="1"/>
  <c r="P279" i="1"/>
  <c r="O279" i="1"/>
  <c r="P277" i="1"/>
  <c r="O277" i="1"/>
  <c r="P169" i="21"/>
  <c r="Q166" i="21" s="1"/>
  <c r="P41" i="21"/>
  <c r="P94" i="21"/>
  <c r="P119" i="21"/>
  <c r="Q116" i="21" s="1"/>
  <c r="N262" i="1"/>
  <c r="O260" i="1"/>
  <c r="P260" i="1" s="1"/>
  <c r="O259" i="1"/>
  <c r="P259" i="1" s="1"/>
  <c r="N261" i="1"/>
  <c r="N242" i="1"/>
  <c r="O240" i="1"/>
  <c r="P240" i="1" s="1"/>
  <c r="O239" i="1"/>
  <c r="P239" i="1" s="1"/>
  <c r="N241" i="1"/>
  <c r="N14" i="5"/>
  <c r="O14" i="5" s="1"/>
  <c r="P14" i="5" s="1"/>
  <c r="O13" i="5"/>
  <c r="P13" i="5" s="1"/>
  <c r="Q79" i="20"/>
  <c r="O50" i="20"/>
  <c r="P50" i="20" s="1"/>
  <c r="Q50" i="20" s="1"/>
  <c r="Q52" i="20" s="1"/>
  <c r="P151" i="21"/>
  <c r="P74" i="21"/>
  <c r="P15" i="21"/>
  <c r="P144" i="21"/>
  <c r="Q141" i="21" s="1"/>
  <c r="P101" i="21"/>
  <c r="P102" i="21" s="1"/>
  <c r="P126" i="21"/>
  <c r="P125" i="21"/>
  <c r="P48" i="21"/>
  <c r="P49" i="21" s="1"/>
  <c r="N229" i="1"/>
  <c r="P229" i="1" s="1"/>
  <c r="O227" i="1"/>
  <c r="P227" i="1" s="1"/>
  <c r="N230" i="1"/>
  <c r="O228" i="1"/>
  <c r="P228" i="1" s="1"/>
  <c r="P176" i="21"/>
  <c r="M13" i="21"/>
  <c r="O22" i="21"/>
  <c r="O21" i="21"/>
  <c r="P21" i="21" s="1"/>
  <c r="O5" i="21"/>
  <c r="P5" i="21" s="1"/>
  <c r="O6" i="21"/>
  <c r="P6" i="21" s="1"/>
  <c r="Q61" i="20"/>
  <c r="O60" i="20"/>
  <c r="P14" i="3"/>
  <c r="P15" i="3"/>
  <c r="P83" i="15"/>
  <c r="O83" i="15"/>
  <c r="P82" i="15"/>
  <c r="O82" i="15"/>
  <c r="P61" i="15"/>
  <c r="P63" i="15" s="1"/>
  <c r="P72" i="15"/>
  <c r="P53" i="15"/>
  <c r="O53" i="15"/>
  <c r="P34" i="15"/>
  <c r="O34" i="15"/>
  <c r="O35" i="15"/>
  <c r="P35" i="15"/>
  <c r="P43" i="15"/>
  <c r="O43" i="15"/>
  <c r="P44" i="15"/>
  <c r="O44" i="15"/>
  <c r="P52" i="15"/>
  <c r="O52" i="15"/>
  <c r="P25" i="15"/>
  <c r="O25" i="15"/>
  <c r="P24" i="15"/>
  <c r="O24" i="15"/>
  <c r="P16" i="15"/>
  <c r="O16" i="15"/>
  <c r="P15" i="15"/>
  <c r="O15" i="15"/>
  <c r="P7" i="15"/>
  <c r="O7" i="15"/>
  <c r="O6" i="15"/>
  <c r="P6" i="15"/>
  <c r="E62" i="14"/>
  <c r="E61" i="14"/>
  <c r="E60" i="14"/>
  <c r="E59" i="14"/>
  <c r="E79" i="14"/>
  <c r="E78" i="14"/>
  <c r="E77" i="14"/>
  <c r="E76" i="14"/>
  <c r="H217" i="1"/>
  <c r="M214" i="1"/>
  <c r="L214" i="1" s="1"/>
  <c r="I214" i="1"/>
  <c r="K214" i="1" s="1"/>
  <c r="N214" i="1" s="1"/>
  <c r="G214" i="1"/>
  <c r="M213" i="1"/>
  <c r="L213" i="1" s="1"/>
  <c r="I213" i="1"/>
  <c r="K213" i="1" s="1"/>
  <c r="N213" i="1" s="1"/>
  <c r="G213" i="1"/>
  <c r="E84" i="14"/>
  <c r="E85" i="14"/>
  <c r="E86" i="14"/>
  <c r="E83" i="14"/>
  <c r="E54" i="14"/>
  <c r="E55" i="14"/>
  <c r="E56" i="14"/>
  <c r="E53" i="14"/>
  <c r="E44" i="14"/>
  <c r="E45" i="14"/>
  <c r="E46" i="14"/>
  <c r="E47" i="14"/>
  <c r="E38" i="14"/>
  <c r="E39" i="14"/>
  <c r="E40" i="14"/>
  <c r="E37" i="14"/>
  <c r="L107" i="3"/>
  <c r="I107" i="3"/>
  <c r="K107" i="3" s="1"/>
  <c r="N107" i="3" s="1"/>
  <c r="G107" i="3"/>
  <c r="M104" i="3"/>
  <c r="I104" i="3"/>
  <c r="K104" i="3" s="1"/>
  <c r="N104" i="3" s="1"/>
  <c r="O104" i="3" s="1"/>
  <c r="P104" i="3" s="1"/>
  <c r="G104" i="3"/>
  <c r="Q12" i="20" l="1"/>
  <c r="P14" i="20"/>
  <c r="Q14" i="20" s="1"/>
  <c r="Q11" i="20"/>
  <c r="P13" i="20"/>
  <c r="Q13" i="20" s="1"/>
  <c r="Q46" i="21"/>
  <c r="Q38" i="21"/>
  <c r="P177" i="21"/>
  <c r="Q174" i="21" s="1"/>
  <c r="P323" i="1"/>
  <c r="P152" i="21"/>
  <c r="Q149" i="21" s="1"/>
  <c r="Q99" i="21"/>
  <c r="P15" i="5"/>
  <c r="Q64" i="21"/>
  <c r="Q91" i="21"/>
  <c r="P75" i="21"/>
  <c r="Q72" i="21" s="1"/>
  <c r="P20" i="22"/>
  <c r="P30" i="22"/>
  <c r="P309" i="1"/>
  <c r="P280" i="1"/>
  <c r="P294" i="1"/>
  <c r="P45" i="15"/>
  <c r="P7" i="21"/>
  <c r="Q4" i="21" s="1"/>
  <c r="P127" i="21"/>
  <c r="Q124" i="21" s="1"/>
  <c r="P261" i="1"/>
  <c r="O261" i="1"/>
  <c r="P262" i="1"/>
  <c r="O262" i="1"/>
  <c r="P241" i="1"/>
  <c r="O241" i="1"/>
  <c r="P242" i="1"/>
  <c r="O242" i="1"/>
  <c r="O230" i="1"/>
  <c r="P230" i="1"/>
  <c r="O229" i="1"/>
  <c r="P54" i="15"/>
  <c r="P36" i="15"/>
  <c r="P26" i="15"/>
  <c r="P8" i="15"/>
  <c r="N215" i="1"/>
  <c r="O215" i="1" s="1"/>
  <c r="O213" i="1"/>
  <c r="O214" i="1"/>
  <c r="N216" i="1"/>
  <c r="O216" i="1" s="1"/>
  <c r="P107" i="3"/>
  <c r="O107" i="3"/>
  <c r="Q15" i="20" l="1"/>
  <c r="Q12" i="21"/>
  <c r="P263" i="1"/>
  <c r="P243" i="1"/>
  <c r="S253" i="1" s="1"/>
  <c r="P231" i="1"/>
  <c r="P17" i="15"/>
  <c r="O23" i="18"/>
  <c r="H23" i="18"/>
  <c r="I22" i="18"/>
  <c r="K22" i="18" s="1"/>
  <c r="G22" i="18"/>
  <c r="Y20" i="20" l="1"/>
  <c r="Y22" i="20" s="1"/>
  <c r="V15" i="20"/>
  <c r="P22" i="18"/>
  <c r="N22" i="18"/>
  <c r="G95" i="3"/>
  <c r="I95" i="3"/>
  <c r="K95" i="3" s="1"/>
  <c r="N95" i="3" s="1"/>
  <c r="L95" i="3"/>
  <c r="G92" i="3"/>
  <c r="I92" i="3"/>
  <c r="K92" i="3" s="1"/>
  <c r="N92" i="3" s="1"/>
  <c r="O92" i="3" s="1"/>
  <c r="P92" i="3" s="1"/>
  <c r="M92" i="3"/>
  <c r="L101" i="3"/>
  <c r="I101" i="3"/>
  <c r="K101" i="3" s="1"/>
  <c r="N101" i="3" s="1"/>
  <c r="G101" i="3"/>
  <c r="M98" i="3"/>
  <c r="I98" i="3"/>
  <c r="K98" i="3" s="1"/>
  <c r="N98" i="3" s="1"/>
  <c r="O98" i="3" s="1"/>
  <c r="P98" i="3" s="1"/>
  <c r="G98" i="3"/>
  <c r="P23" i="18" l="1"/>
  <c r="Q22" i="18"/>
  <c r="Q23" i="18" s="1"/>
  <c r="P95" i="3"/>
  <c r="O95" i="3"/>
  <c r="P101" i="3"/>
  <c r="O101" i="3"/>
  <c r="H13" i="18" l="1"/>
  <c r="I12" i="18"/>
  <c r="K12" i="18" s="1"/>
  <c r="N12" i="18" s="1"/>
  <c r="G12" i="18"/>
  <c r="T19" i="16"/>
  <c r="L62" i="16"/>
  <c r="I62" i="16"/>
  <c r="K62" i="16" s="1"/>
  <c r="N62" i="16" s="1"/>
  <c r="G62" i="16"/>
  <c r="M61" i="16"/>
  <c r="I61" i="16"/>
  <c r="K61" i="16" s="1"/>
  <c r="N61" i="16" s="1"/>
  <c r="O61" i="16" s="1"/>
  <c r="P61" i="16" s="1"/>
  <c r="G61" i="16"/>
  <c r="L59" i="16"/>
  <c r="I59" i="16"/>
  <c r="K59" i="16" s="1"/>
  <c r="N59" i="16" s="1"/>
  <c r="G59" i="16"/>
  <c r="M58" i="16"/>
  <c r="I58" i="16"/>
  <c r="K58" i="16" s="1"/>
  <c r="N58" i="16" s="1"/>
  <c r="O58" i="16" s="1"/>
  <c r="P58" i="16" s="1"/>
  <c r="G58" i="16"/>
  <c r="L56" i="16"/>
  <c r="I56" i="16"/>
  <c r="K56" i="16" s="1"/>
  <c r="N56" i="16" s="1"/>
  <c r="G56" i="16"/>
  <c r="M55" i="16"/>
  <c r="I55" i="16"/>
  <c r="K55" i="16" s="1"/>
  <c r="N55" i="16" s="1"/>
  <c r="O55" i="16" s="1"/>
  <c r="P55" i="16" s="1"/>
  <c r="G55" i="16"/>
  <c r="L53" i="16"/>
  <c r="I53" i="16"/>
  <c r="K53" i="16" s="1"/>
  <c r="N53" i="16" s="1"/>
  <c r="G53" i="16"/>
  <c r="M52" i="16"/>
  <c r="I52" i="16"/>
  <c r="K52" i="16" s="1"/>
  <c r="N52" i="16" s="1"/>
  <c r="O52" i="16" s="1"/>
  <c r="P52" i="16" s="1"/>
  <c r="G52" i="16"/>
  <c r="L50" i="16"/>
  <c r="I50" i="16"/>
  <c r="K50" i="16" s="1"/>
  <c r="N50" i="16" s="1"/>
  <c r="G50" i="16"/>
  <c r="M49" i="16"/>
  <c r="I49" i="16"/>
  <c r="K49" i="16" s="1"/>
  <c r="N49" i="16" s="1"/>
  <c r="O49" i="16" s="1"/>
  <c r="P49" i="16" s="1"/>
  <c r="G49" i="16"/>
  <c r="M47" i="16"/>
  <c r="L47" i="16" s="1"/>
  <c r="I47" i="16"/>
  <c r="K47" i="16" s="1"/>
  <c r="N47" i="16" s="1"/>
  <c r="G47" i="16"/>
  <c r="M46" i="16"/>
  <c r="I46" i="16"/>
  <c r="K46" i="16" s="1"/>
  <c r="N46" i="16" s="1"/>
  <c r="O46" i="16" s="1"/>
  <c r="P46" i="16" s="1"/>
  <c r="G46" i="16"/>
  <c r="L44" i="16"/>
  <c r="I44" i="16"/>
  <c r="K44" i="16" s="1"/>
  <c r="N44" i="16" s="1"/>
  <c r="G44" i="16"/>
  <c r="M43" i="16"/>
  <c r="I43" i="16"/>
  <c r="K43" i="16" s="1"/>
  <c r="N43" i="16" s="1"/>
  <c r="O43" i="16" s="1"/>
  <c r="P43" i="16" s="1"/>
  <c r="G43" i="16"/>
  <c r="I41" i="16"/>
  <c r="K41" i="16" s="1"/>
  <c r="N41" i="16" s="1"/>
  <c r="G41" i="16"/>
  <c r="M40" i="16"/>
  <c r="I40" i="16"/>
  <c r="K40" i="16" s="1"/>
  <c r="N40" i="16" s="1"/>
  <c r="O40" i="16" s="1"/>
  <c r="P40" i="16" s="1"/>
  <c r="G40" i="16"/>
  <c r="M27" i="16"/>
  <c r="L27" i="16" s="1"/>
  <c r="M34" i="16"/>
  <c r="L34" i="16" s="1"/>
  <c r="L35" i="16"/>
  <c r="M35" i="16" s="1"/>
  <c r="M36" i="16"/>
  <c r="L36" i="16" s="1"/>
  <c r="I36" i="16"/>
  <c r="K36" i="16" s="1"/>
  <c r="N36" i="16" s="1"/>
  <c r="G36" i="16"/>
  <c r="I35" i="16"/>
  <c r="K35" i="16" s="1"/>
  <c r="N35" i="16" s="1"/>
  <c r="O35" i="16" s="1"/>
  <c r="G35" i="16"/>
  <c r="I34" i="16"/>
  <c r="K34" i="16" s="1"/>
  <c r="N34" i="16" s="1"/>
  <c r="G34" i="16"/>
  <c r="I27" i="16"/>
  <c r="K27" i="16" s="1"/>
  <c r="N27" i="16" s="1"/>
  <c r="P27" i="16" s="1"/>
  <c r="G27" i="16"/>
  <c r="M26" i="16"/>
  <c r="I26" i="16"/>
  <c r="K26" i="16" s="1"/>
  <c r="N26" i="16" s="1"/>
  <c r="O26" i="16" s="1"/>
  <c r="G26" i="16"/>
  <c r="L25" i="16"/>
  <c r="I25" i="16"/>
  <c r="K25" i="16" s="1"/>
  <c r="N25" i="16" s="1"/>
  <c r="G25" i="16"/>
  <c r="M16" i="16"/>
  <c r="L16" i="16" s="1"/>
  <c r="M18" i="16"/>
  <c r="L18" i="16" s="1"/>
  <c r="L17" i="16"/>
  <c r="M17" i="16" s="1"/>
  <c r="I18" i="16"/>
  <c r="K18" i="16" s="1"/>
  <c r="N18" i="16" s="1"/>
  <c r="G18" i="16"/>
  <c r="I17" i="16"/>
  <c r="K17" i="16" s="1"/>
  <c r="N17" i="16" s="1"/>
  <c r="O17" i="16" s="1"/>
  <c r="P17" i="16" s="1"/>
  <c r="G17" i="16"/>
  <c r="I16" i="16"/>
  <c r="K16" i="16" s="1"/>
  <c r="N16" i="16" s="1"/>
  <c r="G16" i="16"/>
  <c r="M6" i="16"/>
  <c r="M5" i="16"/>
  <c r="L5" i="16" s="1"/>
  <c r="I7" i="16"/>
  <c r="K7" i="16" s="1"/>
  <c r="N7" i="16" s="1"/>
  <c r="O7" i="16" s="1"/>
  <c r="M7" i="16"/>
  <c r="G7" i="16"/>
  <c r="I6" i="16"/>
  <c r="K6" i="16" s="1"/>
  <c r="N6" i="16" s="1"/>
  <c r="O6" i="16" s="1"/>
  <c r="G6" i="16"/>
  <c r="I5" i="16"/>
  <c r="K5" i="16" s="1"/>
  <c r="N5" i="16" s="1"/>
  <c r="G5" i="16"/>
  <c r="P18" i="16" l="1"/>
  <c r="P7" i="16"/>
  <c r="P12" i="18"/>
  <c r="P62" i="16"/>
  <c r="O62" i="16"/>
  <c r="P59" i="16"/>
  <c r="O59" i="16"/>
  <c r="P56" i="16"/>
  <c r="O56" i="16"/>
  <c r="P53" i="16"/>
  <c r="O53" i="16"/>
  <c r="P50" i="16"/>
  <c r="O50" i="16"/>
  <c r="P47" i="16"/>
  <c r="O47" i="16"/>
  <c r="P44" i="16"/>
  <c r="O44" i="16"/>
  <c r="P41" i="16"/>
  <c r="O41" i="16"/>
  <c r="P35" i="16"/>
  <c r="P36" i="16"/>
  <c r="O36" i="16"/>
  <c r="P34" i="16"/>
  <c r="O34" i="16"/>
  <c r="P26" i="16"/>
  <c r="T9" i="16"/>
  <c r="O27" i="16"/>
  <c r="P25" i="16"/>
  <c r="T7" i="16" s="1"/>
  <c r="O25" i="16"/>
  <c r="O18" i="16"/>
  <c r="O16" i="16"/>
  <c r="P16" i="16"/>
  <c r="P6" i="16"/>
  <c r="P5" i="16"/>
  <c r="O5" i="16"/>
  <c r="P13" i="18" l="1"/>
  <c r="Q12" i="18"/>
  <c r="Q13" i="18" s="1"/>
  <c r="T2" i="16"/>
  <c r="T12" i="16"/>
  <c r="T14" i="16"/>
  <c r="T4" i="16"/>
  <c r="O13" i="18"/>
  <c r="T13" i="16"/>
  <c r="T3" i="16"/>
  <c r="T8" i="16"/>
  <c r="M203" i="1"/>
  <c r="L203" i="1" s="1"/>
  <c r="M202" i="1"/>
  <c r="L202" i="1" s="1"/>
  <c r="H206" i="1"/>
  <c r="I203" i="1"/>
  <c r="K203" i="1" s="1"/>
  <c r="N203" i="1" s="1"/>
  <c r="G203" i="1"/>
  <c r="I202" i="1"/>
  <c r="K202" i="1" s="1"/>
  <c r="N202" i="1" s="1"/>
  <c r="G202" i="1"/>
  <c r="G192" i="1"/>
  <c r="L191" i="1"/>
  <c r="H191" i="1"/>
  <c r="J191" i="1" s="1"/>
  <c r="N191" i="1" s="1"/>
  <c r="F191" i="1"/>
  <c r="L190" i="1"/>
  <c r="H190" i="1"/>
  <c r="J190" i="1" s="1"/>
  <c r="N190" i="1" s="1"/>
  <c r="F190" i="1"/>
  <c r="S203" i="1" l="1"/>
  <c r="N205" i="1"/>
  <c r="P203" i="1"/>
  <c r="O203" i="1"/>
  <c r="O202" i="1"/>
  <c r="N204" i="1"/>
  <c r="P202" i="1"/>
  <c r="N192" i="1"/>
  <c r="P190" i="1"/>
  <c r="O190" i="1"/>
  <c r="O191" i="1"/>
  <c r="P191" i="1"/>
  <c r="P204" i="1" l="1"/>
  <c r="O204" i="1"/>
  <c r="P205" i="1"/>
  <c r="O205" i="1"/>
  <c r="O193" i="1"/>
  <c r="O192" i="1"/>
  <c r="P206" i="1" l="1"/>
  <c r="L84" i="3" l="1"/>
  <c r="H87" i="3"/>
  <c r="I84" i="3"/>
  <c r="K84" i="3" s="1"/>
  <c r="N84" i="3" s="1"/>
  <c r="P84" i="3" s="1"/>
  <c r="G84" i="3"/>
  <c r="I83" i="3"/>
  <c r="K83" i="3" s="1"/>
  <c r="N83" i="3" s="1"/>
  <c r="G83" i="3"/>
  <c r="H65" i="3"/>
  <c r="L62" i="3"/>
  <c r="I62" i="3"/>
  <c r="K62" i="3" s="1"/>
  <c r="N62" i="3" s="1"/>
  <c r="G62" i="3"/>
  <c r="L61" i="3"/>
  <c r="I61" i="3"/>
  <c r="K61" i="3" s="1"/>
  <c r="N61" i="3" s="1"/>
  <c r="N63" i="3" s="1"/>
  <c r="P63" i="3" s="1"/>
  <c r="G61" i="3"/>
  <c r="H75" i="3"/>
  <c r="M74" i="3"/>
  <c r="I74" i="3"/>
  <c r="K74" i="3" s="1"/>
  <c r="N74" i="3" s="1"/>
  <c r="O74" i="3" s="1"/>
  <c r="P74" i="3" s="1"/>
  <c r="G74" i="3"/>
  <c r="M73" i="3"/>
  <c r="I73" i="3"/>
  <c r="K73" i="3" s="1"/>
  <c r="N73" i="3" s="1"/>
  <c r="O73" i="3" s="1"/>
  <c r="P73" i="3" s="1"/>
  <c r="G73" i="3"/>
  <c r="H53" i="3"/>
  <c r="L50" i="3"/>
  <c r="I50" i="3"/>
  <c r="K50" i="3" s="1"/>
  <c r="N50" i="3" s="1"/>
  <c r="G50" i="3"/>
  <c r="L49" i="3"/>
  <c r="I49" i="3"/>
  <c r="K49" i="3" s="1"/>
  <c r="N49" i="3" s="1"/>
  <c r="G49" i="3"/>
  <c r="L179" i="1"/>
  <c r="L178" i="1"/>
  <c r="L169" i="1"/>
  <c r="L168" i="1"/>
  <c r="H181" i="1"/>
  <c r="H171" i="1"/>
  <c r="I178" i="1"/>
  <c r="K178" i="1" s="1"/>
  <c r="N178" i="1" s="1"/>
  <c r="O178" i="1" s="1"/>
  <c r="G178" i="1"/>
  <c r="I168" i="1"/>
  <c r="K168" i="1" s="1"/>
  <c r="N168" i="1" s="1"/>
  <c r="O168" i="1" s="1"/>
  <c r="G168" i="1"/>
  <c r="I179" i="1"/>
  <c r="K179" i="1" s="1"/>
  <c r="N179" i="1" s="1"/>
  <c r="O179" i="1" s="1"/>
  <c r="G179" i="1"/>
  <c r="I169" i="1"/>
  <c r="K169" i="1" s="1"/>
  <c r="N169" i="1" s="1"/>
  <c r="P169" i="1" s="1"/>
  <c r="G169" i="1"/>
  <c r="L154" i="1"/>
  <c r="L155" i="1"/>
  <c r="L156" i="1"/>
  <c r="L153" i="1"/>
  <c r="L143" i="1"/>
  <c r="L144" i="1"/>
  <c r="L142" i="1"/>
  <c r="L141" i="1"/>
  <c r="H157" i="1"/>
  <c r="I154" i="1"/>
  <c r="K154" i="1" s="1"/>
  <c r="N154" i="1" s="1"/>
  <c r="G154" i="1"/>
  <c r="I153" i="1"/>
  <c r="K153" i="1" s="1"/>
  <c r="N153" i="1" s="1"/>
  <c r="G153" i="1"/>
  <c r="H145" i="1"/>
  <c r="I142" i="1"/>
  <c r="K142" i="1" s="1"/>
  <c r="N142" i="1" s="1"/>
  <c r="P142" i="1" s="1"/>
  <c r="G142" i="1"/>
  <c r="I141" i="1"/>
  <c r="K141" i="1" s="1"/>
  <c r="N141" i="1" s="1"/>
  <c r="P141" i="1" s="1"/>
  <c r="G141" i="1"/>
  <c r="H133" i="1"/>
  <c r="M130" i="1"/>
  <c r="I130" i="1"/>
  <c r="K130" i="1" s="1"/>
  <c r="N130" i="1" s="1"/>
  <c r="G130" i="1"/>
  <c r="M129" i="1"/>
  <c r="I129" i="1"/>
  <c r="K129" i="1" s="1"/>
  <c r="N129" i="1" s="1"/>
  <c r="G129" i="1"/>
  <c r="P179" i="1" l="1"/>
  <c r="P168" i="1"/>
  <c r="N86" i="3"/>
  <c r="O84" i="3"/>
  <c r="O83" i="3"/>
  <c r="P83" i="3" s="1"/>
  <c r="N85" i="3"/>
  <c r="O63" i="3"/>
  <c r="O62" i="3"/>
  <c r="N64" i="3"/>
  <c r="P62" i="3"/>
  <c r="P61" i="3"/>
  <c r="O61" i="3"/>
  <c r="P75" i="3"/>
  <c r="O49" i="3"/>
  <c r="N51" i="3"/>
  <c r="P49" i="3"/>
  <c r="N52" i="3"/>
  <c r="P50" i="3"/>
  <c r="O50" i="3"/>
  <c r="P178" i="1"/>
  <c r="N180" i="1"/>
  <c r="N170" i="1"/>
  <c r="O169" i="1"/>
  <c r="N156" i="1"/>
  <c r="P154" i="1"/>
  <c r="O154" i="1"/>
  <c r="N155" i="1"/>
  <c r="O153" i="1"/>
  <c r="P153" i="1"/>
  <c r="O141" i="1"/>
  <c r="N143" i="1"/>
  <c r="P143" i="1" s="1"/>
  <c r="N144" i="1"/>
  <c r="P144" i="1" s="1"/>
  <c r="O142" i="1"/>
  <c r="N132" i="1"/>
  <c r="O130" i="1"/>
  <c r="P130" i="1" s="1"/>
  <c r="O129" i="1"/>
  <c r="P129" i="1" s="1"/>
  <c r="N131" i="1"/>
  <c r="B18" i="14"/>
  <c r="E10" i="14"/>
  <c r="C17" i="14" s="1"/>
  <c r="E9" i="14"/>
  <c r="C16" i="14" s="1"/>
  <c r="E8" i="14"/>
  <c r="C15" i="14" s="1"/>
  <c r="E2" i="14"/>
  <c r="B22" i="14" s="1"/>
  <c r="E4" i="14"/>
  <c r="B24" i="14" s="1"/>
  <c r="B30" i="14" s="1"/>
  <c r="E3" i="14"/>
  <c r="B23" i="14" s="1"/>
  <c r="B29" i="14" s="1"/>
  <c r="G2" i="14"/>
  <c r="P85" i="3" l="1"/>
  <c r="O85" i="3"/>
  <c r="P86" i="3"/>
  <c r="P87" i="3" s="1"/>
  <c r="O86" i="3"/>
  <c r="P64" i="3"/>
  <c r="P65" i="3" s="1"/>
  <c r="O64" i="3"/>
  <c r="P52" i="3"/>
  <c r="O52" i="3"/>
  <c r="O51" i="3"/>
  <c r="P51" i="3"/>
  <c r="P180" i="1"/>
  <c r="P181" i="1" s="1"/>
  <c r="O180" i="1"/>
  <c r="P170" i="1"/>
  <c r="P171" i="1" s="1"/>
  <c r="O170" i="1"/>
  <c r="P155" i="1"/>
  <c r="O155" i="1"/>
  <c r="P156" i="1"/>
  <c r="O156" i="1"/>
  <c r="O144" i="1"/>
  <c r="P145" i="1"/>
  <c r="O143" i="1"/>
  <c r="P131" i="1"/>
  <c r="O131" i="1"/>
  <c r="P132" i="1"/>
  <c r="O132" i="1"/>
  <c r="B25" i="14"/>
  <c r="B28" i="14"/>
  <c r="L36" i="1"/>
  <c r="L35" i="1"/>
  <c r="L26" i="1"/>
  <c r="H39" i="1"/>
  <c r="I36" i="1"/>
  <c r="K36" i="1" s="1"/>
  <c r="N36" i="1" s="1"/>
  <c r="P36" i="1" s="1"/>
  <c r="G36" i="1"/>
  <c r="I35" i="1"/>
  <c r="K35" i="1" s="1"/>
  <c r="N35" i="1" s="1"/>
  <c r="P35" i="1" s="1"/>
  <c r="G35" i="1"/>
  <c r="P133" i="1" l="1"/>
  <c r="P53" i="3"/>
  <c r="P157" i="1"/>
  <c r="O35" i="1"/>
  <c r="N37" i="1"/>
  <c r="N38" i="1"/>
  <c r="O36" i="1"/>
  <c r="H40" i="3"/>
  <c r="M39" i="3"/>
  <c r="I39" i="3"/>
  <c r="K39" i="3" s="1"/>
  <c r="N39" i="3" s="1"/>
  <c r="G39" i="3"/>
  <c r="M38" i="3"/>
  <c r="I38" i="3"/>
  <c r="K38" i="3" s="1"/>
  <c r="N38" i="3" s="1"/>
  <c r="G38" i="3"/>
  <c r="O38" i="1" l="1"/>
  <c r="P38" i="1" s="1"/>
  <c r="O37" i="1"/>
  <c r="P37" i="1" s="1"/>
  <c r="O38" i="3"/>
  <c r="P38" i="3" s="1"/>
  <c r="O39" i="3"/>
  <c r="P39" i="3" s="1"/>
  <c r="P39" i="1" l="1"/>
  <c r="P40" i="3"/>
  <c r="G8" i="1"/>
  <c r="I8" i="1"/>
  <c r="K8" i="1" s="1"/>
  <c r="N8" i="1" s="1"/>
  <c r="M8" i="1"/>
  <c r="G9" i="1"/>
  <c r="I9" i="1"/>
  <c r="K9" i="1" s="1"/>
  <c r="N9" i="1" s="1"/>
  <c r="M9" i="1"/>
  <c r="H10" i="1"/>
  <c r="G25" i="1"/>
  <c r="I25" i="1"/>
  <c r="K25" i="1" s="1"/>
  <c r="N25" i="1" s="1"/>
  <c r="G26" i="1"/>
  <c r="I26" i="1"/>
  <c r="K26" i="1" s="1"/>
  <c r="N26" i="1" s="1"/>
  <c r="H29" i="1"/>
  <c r="G46" i="1"/>
  <c r="I46" i="1"/>
  <c r="K46" i="1" s="1"/>
  <c r="N46" i="1" s="1"/>
  <c r="G47" i="1"/>
  <c r="I47" i="1"/>
  <c r="K47" i="1" s="1"/>
  <c r="N47" i="1" s="1"/>
  <c r="L47" i="1"/>
  <c r="M47" i="1" s="1"/>
  <c r="H50" i="1"/>
  <c r="L46" i="1"/>
  <c r="M46" i="1" s="1"/>
  <c r="O9" i="1" l="1"/>
  <c r="P9" i="1" s="1"/>
  <c r="O8" i="1"/>
  <c r="P8" i="1" s="1"/>
  <c r="N48" i="1"/>
  <c r="O48" i="1" s="1"/>
  <c r="O46" i="1"/>
  <c r="P46" i="1" s="1"/>
  <c r="N27" i="1"/>
  <c r="P27" i="1" s="1"/>
  <c r="P25" i="1"/>
  <c r="N28" i="1"/>
  <c r="P28" i="1" s="1"/>
  <c r="P26" i="1"/>
  <c r="O26" i="1"/>
  <c r="O25" i="1"/>
  <c r="N49" i="1"/>
  <c r="O47" i="1"/>
  <c r="P47" i="1" s="1"/>
  <c r="M58" i="1"/>
  <c r="H72" i="1"/>
  <c r="M69" i="1"/>
  <c r="I69" i="1"/>
  <c r="K69" i="1" s="1"/>
  <c r="N69" i="1" s="1"/>
  <c r="G69" i="1"/>
  <c r="M68" i="1"/>
  <c r="I68" i="1"/>
  <c r="K68" i="1" s="1"/>
  <c r="N68" i="1" s="1"/>
  <c r="G68" i="1"/>
  <c r="O28" i="1" l="1"/>
  <c r="P48" i="1"/>
  <c r="P10" i="1"/>
  <c r="O27" i="1"/>
  <c r="O49" i="1"/>
  <c r="P49" i="1"/>
  <c r="N70" i="1"/>
  <c r="P70" i="1" s="1"/>
  <c r="O68" i="1"/>
  <c r="P68" i="1" s="1"/>
  <c r="N71" i="1"/>
  <c r="P71" i="1" s="1"/>
  <c r="O69" i="1"/>
  <c r="P69" i="1" s="1"/>
  <c r="C108" i="11"/>
  <c r="E107" i="11" s="1"/>
  <c r="E72" i="11"/>
  <c r="E65" i="11"/>
  <c r="E58" i="11"/>
  <c r="E38" i="11"/>
  <c r="E31" i="11"/>
  <c r="E5" i="11"/>
  <c r="H6" i="11"/>
  <c r="C115" i="11"/>
  <c r="E114" i="11" s="1"/>
  <c r="C101" i="11"/>
  <c r="E100" i="11" s="1"/>
  <c r="C94" i="11"/>
  <c r="E93" i="11" s="1"/>
  <c r="C87" i="11"/>
  <c r="E86" i="11" s="1"/>
  <c r="C80" i="11"/>
  <c r="E79" i="11" s="1"/>
  <c r="C52" i="11"/>
  <c r="E51" i="11" s="1"/>
  <c r="C45" i="11"/>
  <c r="E44" i="11" s="1"/>
  <c r="C25" i="11"/>
  <c r="E24" i="11" s="1"/>
  <c r="C13" i="11"/>
  <c r="E12" i="11" s="1"/>
  <c r="P50" i="1" l="1"/>
  <c r="O71" i="1"/>
  <c r="P72" i="1"/>
  <c r="O70" i="1"/>
  <c r="A22" i="5"/>
  <c r="H35" i="10" l="1"/>
  <c r="M32" i="10"/>
  <c r="I32" i="10"/>
  <c r="K32" i="10" s="1"/>
  <c r="N32" i="10" s="1"/>
  <c r="G32" i="10"/>
  <c r="M31" i="10"/>
  <c r="I31" i="10"/>
  <c r="K31" i="10" s="1"/>
  <c r="N31" i="10" s="1"/>
  <c r="G31" i="10"/>
  <c r="N33" i="10" l="1"/>
  <c r="O31" i="10"/>
  <c r="N34" i="10"/>
  <c r="O32" i="10"/>
  <c r="O33" i="10" l="1"/>
  <c r="P33" i="10" s="1"/>
  <c r="P31" i="10"/>
  <c r="O34" i="10"/>
  <c r="P34" i="10" s="1"/>
  <c r="P32" i="10"/>
  <c r="L21" i="10"/>
  <c r="L20" i="10"/>
  <c r="P35" i="10" l="1"/>
  <c r="H24" i="10" l="1"/>
  <c r="M21" i="10"/>
  <c r="I21" i="10"/>
  <c r="K21" i="10" s="1"/>
  <c r="N21" i="10" s="1"/>
  <c r="G21" i="10"/>
  <c r="M20" i="10"/>
  <c r="I20" i="10"/>
  <c r="K20" i="10" s="1"/>
  <c r="N20" i="10" s="1"/>
  <c r="G20" i="10"/>
  <c r="O20" i="10" l="1"/>
  <c r="N22" i="10"/>
  <c r="O21" i="10"/>
  <c r="N23" i="10"/>
  <c r="P21" i="10" l="1"/>
  <c r="O23" i="10"/>
  <c r="P23" i="10" s="1"/>
  <c r="O22" i="10"/>
  <c r="P22" i="10" s="1"/>
  <c r="P20" i="10"/>
  <c r="P24" i="10" l="1"/>
  <c r="H10" i="10" l="1"/>
  <c r="M7" i="10"/>
  <c r="I7" i="10"/>
  <c r="K7" i="10" s="1"/>
  <c r="N7" i="10" s="1"/>
  <c r="G7" i="10"/>
  <c r="M6" i="10"/>
  <c r="I6" i="10"/>
  <c r="K6" i="10" s="1"/>
  <c r="N6" i="10" s="1"/>
  <c r="G6" i="10"/>
  <c r="O6" i="10" l="1"/>
  <c r="P6" i="10" s="1"/>
  <c r="N8" i="10"/>
  <c r="O7" i="10"/>
  <c r="P7" i="10" s="1"/>
  <c r="N9" i="10"/>
  <c r="P9" i="10" l="1"/>
  <c r="O9" i="10"/>
  <c r="P8" i="10"/>
  <c r="O8" i="10"/>
  <c r="P10" i="10"/>
  <c r="N22" i="7"/>
  <c r="J22" i="7"/>
  <c r="L22" i="7" s="1"/>
  <c r="O22" i="7" s="1"/>
  <c r="H22" i="7"/>
  <c r="N21" i="7"/>
  <c r="J21" i="7"/>
  <c r="O21" i="7" s="1"/>
  <c r="O23" i="7" s="1"/>
  <c r="H21" i="7"/>
  <c r="P22" i="7" l="1"/>
  <c r="Q22" i="7" s="1"/>
  <c r="O24" i="7"/>
  <c r="Q23" i="7"/>
  <c r="P23" i="7"/>
  <c r="L21" i="7"/>
  <c r="P21" i="7" s="1"/>
  <c r="Q21" i="7" s="1"/>
  <c r="H32" i="2"/>
  <c r="M29" i="2"/>
  <c r="I29" i="2"/>
  <c r="K29" i="2" s="1"/>
  <c r="N29" i="2" s="1"/>
  <c r="G29" i="2"/>
  <c r="M28" i="2"/>
  <c r="I28" i="2"/>
  <c r="K28" i="2" s="1"/>
  <c r="N28" i="2" s="1"/>
  <c r="G28" i="2"/>
  <c r="Q24" i="7" l="1"/>
  <c r="Q25" i="7" s="1"/>
  <c r="P24" i="7"/>
  <c r="N31" i="2"/>
  <c r="P29" i="2"/>
  <c r="R29" i="2" s="1"/>
  <c r="N30" i="2"/>
  <c r="P28" i="2"/>
  <c r="R28" i="2" s="1"/>
  <c r="I35" i="9"/>
  <c r="N32" i="9"/>
  <c r="J32" i="9"/>
  <c r="L32" i="9" s="1"/>
  <c r="O32" i="9" s="1"/>
  <c r="H32" i="9"/>
  <c r="N31" i="9"/>
  <c r="J31" i="9"/>
  <c r="L31" i="9" s="1"/>
  <c r="O31" i="9" s="1"/>
  <c r="H31" i="9"/>
  <c r="R31" i="2" l="1"/>
  <c r="P31" i="2"/>
  <c r="R30" i="2"/>
  <c r="P30" i="2"/>
  <c r="P31" i="9"/>
  <c r="Q31" i="9" s="1"/>
  <c r="O33" i="9"/>
  <c r="P32" i="9"/>
  <c r="Q32" i="9" s="1"/>
  <c r="O34" i="9"/>
  <c r="H120" i="1"/>
  <c r="I117" i="1"/>
  <c r="K117" i="1" s="1"/>
  <c r="N117" i="1" s="1"/>
  <c r="G117" i="1"/>
  <c r="I116" i="1"/>
  <c r="K116" i="1" s="1"/>
  <c r="N116" i="1" s="1"/>
  <c r="G116" i="1"/>
  <c r="R32" i="2" l="1"/>
  <c r="Q34" i="9"/>
  <c r="P34" i="9"/>
  <c r="P33" i="9"/>
  <c r="Q33" i="9"/>
  <c r="Q35" i="9" s="1"/>
  <c r="N118" i="1"/>
  <c r="O116" i="1"/>
  <c r="P116" i="1" s="1"/>
  <c r="N119" i="1"/>
  <c r="O117" i="1"/>
  <c r="P117" i="1" s="1"/>
  <c r="I24" i="9"/>
  <c r="N21" i="9"/>
  <c r="J21" i="9"/>
  <c r="L21" i="9" s="1"/>
  <c r="O21" i="9" s="1"/>
  <c r="H21" i="9"/>
  <c r="N20" i="9"/>
  <c r="J20" i="9"/>
  <c r="L20" i="9" s="1"/>
  <c r="O20" i="9" s="1"/>
  <c r="H20" i="9"/>
  <c r="I12" i="9"/>
  <c r="N9" i="9"/>
  <c r="J9" i="9"/>
  <c r="L9" i="9" s="1"/>
  <c r="O9" i="9" s="1"/>
  <c r="H9" i="9"/>
  <c r="N8" i="9"/>
  <c r="J8" i="9"/>
  <c r="L8" i="9" s="1"/>
  <c r="O8" i="9" s="1"/>
  <c r="H8" i="9"/>
  <c r="H108" i="1"/>
  <c r="M105" i="1"/>
  <c r="I105" i="1"/>
  <c r="K105" i="1" s="1"/>
  <c r="N105" i="1" s="1"/>
  <c r="G105" i="1"/>
  <c r="M104" i="1"/>
  <c r="I104" i="1"/>
  <c r="K104" i="1" s="1"/>
  <c r="N104" i="1" s="1"/>
  <c r="G104" i="1"/>
  <c r="H96" i="1"/>
  <c r="M93" i="1"/>
  <c r="I93" i="1"/>
  <c r="K93" i="1" s="1"/>
  <c r="N93" i="1" s="1"/>
  <c r="G93" i="1"/>
  <c r="M92" i="1"/>
  <c r="I92" i="1"/>
  <c r="K92" i="1" s="1"/>
  <c r="N92" i="1" s="1"/>
  <c r="G92" i="1"/>
  <c r="P119" i="1" l="1"/>
  <c r="O119" i="1"/>
  <c r="P118" i="1"/>
  <c r="O118" i="1"/>
  <c r="O11" i="9"/>
  <c r="P9" i="9"/>
  <c r="Q9" i="9" s="1"/>
  <c r="O23" i="9"/>
  <c r="P21" i="9"/>
  <c r="Q21" i="9" s="1"/>
  <c r="P20" i="9"/>
  <c r="Q20" i="9" s="1"/>
  <c r="O22" i="9"/>
  <c r="O10" i="9"/>
  <c r="P8" i="9"/>
  <c r="Q8" i="9" s="1"/>
  <c r="N106" i="1"/>
  <c r="O104" i="1"/>
  <c r="P104" i="1" s="1"/>
  <c r="N107" i="1"/>
  <c r="O105" i="1"/>
  <c r="P105" i="1" s="1"/>
  <c r="O92" i="1"/>
  <c r="P92" i="1" s="1"/>
  <c r="N94" i="1"/>
  <c r="O93" i="1"/>
  <c r="P93" i="1" s="1"/>
  <c r="N95" i="1"/>
  <c r="N8" i="7"/>
  <c r="J8" i="7"/>
  <c r="L8" i="7" s="1"/>
  <c r="O8" i="7" s="1"/>
  <c r="H8" i="7"/>
  <c r="N7" i="7"/>
  <c r="J7" i="7"/>
  <c r="H7" i="7"/>
  <c r="P120" i="1" l="1"/>
  <c r="L7" i="7"/>
  <c r="O7" i="7"/>
  <c r="Q10" i="9"/>
  <c r="P10" i="9"/>
  <c r="P22" i="9"/>
  <c r="Q22" i="9"/>
  <c r="Q23" i="9"/>
  <c r="P23" i="9"/>
  <c r="Q11" i="9"/>
  <c r="P11" i="9"/>
  <c r="P107" i="1"/>
  <c r="O107" i="1"/>
  <c r="P106" i="1"/>
  <c r="O106" i="1"/>
  <c r="O94" i="1"/>
  <c r="P94" i="1"/>
  <c r="P95" i="1"/>
  <c r="O95" i="1"/>
  <c r="P8" i="7"/>
  <c r="Q8" i="7" s="1"/>
  <c r="O10" i="7"/>
  <c r="H84" i="1"/>
  <c r="M81" i="1"/>
  <c r="I81" i="1"/>
  <c r="K81" i="1" s="1"/>
  <c r="N81" i="1" s="1"/>
  <c r="G81" i="1"/>
  <c r="M80" i="1"/>
  <c r="I80" i="1"/>
  <c r="K80" i="1" s="1"/>
  <c r="N80" i="1" s="1"/>
  <c r="G80" i="1"/>
  <c r="P108" i="1" l="1"/>
  <c r="P96" i="1"/>
  <c r="O9" i="7"/>
  <c r="Q9" i="7" s="1"/>
  <c r="P7" i="7"/>
  <c r="Q7" i="7" s="1"/>
  <c r="Q24" i="9"/>
  <c r="Q12" i="9"/>
  <c r="P10" i="7"/>
  <c r="Q10" i="7"/>
  <c r="O80" i="1"/>
  <c r="P80" i="1" s="1"/>
  <c r="N82" i="1"/>
  <c r="O81" i="1"/>
  <c r="P81" i="1" s="1"/>
  <c r="N83" i="1"/>
  <c r="H24" i="5"/>
  <c r="I22" i="5"/>
  <c r="K22" i="5" s="1"/>
  <c r="N22" i="5" s="1"/>
  <c r="G22" i="5"/>
  <c r="H7" i="5"/>
  <c r="M5" i="5"/>
  <c r="I5" i="5"/>
  <c r="K5" i="5" s="1"/>
  <c r="N5" i="5" s="1"/>
  <c r="H55" i="4"/>
  <c r="L53" i="4"/>
  <c r="M53" i="4" s="1"/>
  <c r="I53" i="4"/>
  <c r="K53" i="4" s="1"/>
  <c r="N53" i="4" s="1"/>
  <c r="G53" i="4"/>
  <c r="H46" i="4"/>
  <c r="M43" i="4"/>
  <c r="I43" i="4"/>
  <c r="K43" i="4" s="1"/>
  <c r="N43" i="4" s="1"/>
  <c r="G43" i="4"/>
  <c r="L42" i="4"/>
  <c r="M42" i="4" s="1"/>
  <c r="I42" i="4"/>
  <c r="K42" i="4" s="1"/>
  <c r="N42" i="4" s="1"/>
  <c r="G42" i="4"/>
  <c r="H34" i="4"/>
  <c r="M31" i="4"/>
  <c r="I31" i="4"/>
  <c r="K31" i="4" s="1"/>
  <c r="N31" i="4" s="1"/>
  <c r="G31" i="4"/>
  <c r="L30" i="4"/>
  <c r="M30" i="4" s="1"/>
  <c r="I30" i="4"/>
  <c r="K30" i="4" s="1"/>
  <c r="N30" i="4" s="1"/>
  <c r="G30" i="4"/>
  <c r="H22" i="4"/>
  <c r="M19" i="4"/>
  <c r="I19" i="4"/>
  <c r="K19" i="4" s="1"/>
  <c r="N19" i="4" s="1"/>
  <c r="G19" i="4"/>
  <c r="L18" i="4"/>
  <c r="M18" i="4" s="1"/>
  <c r="I18" i="4"/>
  <c r="K18" i="4" s="1"/>
  <c r="N18" i="4" s="1"/>
  <c r="O18" i="4" s="1"/>
  <c r="G18" i="4"/>
  <c r="H10" i="4"/>
  <c r="L7" i="4"/>
  <c r="M7" i="4" s="1"/>
  <c r="I7" i="4"/>
  <c r="K7" i="4" s="1"/>
  <c r="N7" i="4" s="1"/>
  <c r="G7" i="4"/>
  <c r="L6" i="4"/>
  <c r="M6" i="4" s="1"/>
  <c r="I6" i="4"/>
  <c r="K6" i="4" s="1"/>
  <c r="N6" i="4" s="1"/>
  <c r="O6" i="4" s="1"/>
  <c r="P6" i="4" s="1"/>
  <c r="G6" i="4"/>
  <c r="H30" i="3"/>
  <c r="M27" i="3"/>
  <c r="I27" i="3"/>
  <c r="K27" i="3" s="1"/>
  <c r="N27" i="3" s="1"/>
  <c r="G27" i="3"/>
  <c r="M26" i="3"/>
  <c r="I26" i="3"/>
  <c r="K26" i="3" s="1"/>
  <c r="N26" i="3" s="1"/>
  <c r="N28" i="3" s="1"/>
  <c r="G26" i="3"/>
  <c r="H8" i="3"/>
  <c r="M7" i="3"/>
  <c r="I7" i="3"/>
  <c r="K7" i="3" s="1"/>
  <c r="N7" i="3" s="1"/>
  <c r="G7" i="3"/>
  <c r="M6" i="3"/>
  <c r="I6" i="3"/>
  <c r="K6" i="3" s="1"/>
  <c r="N6" i="3" s="1"/>
  <c r="H61" i="1"/>
  <c r="I58" i="1"/>
  <c r="K58" i="1" s="1"/>
  <c r="N58" i="1" s="1"/>
  <c r="N60" i="1" s="1"/>
  <c r="O60" i="1" s="1"/>
  <c r="G58" i="1"/>
  <c r="M57" i="1"/>
  <c r="I57" i="1"/>
  <c r="K57" i="1" s="1"/>
  <c r="N57" i="1" s="1"/>
  <c r="O57" i="1" s="1"/>
  <c r="P57" i="1" s="1"/>
  <c r="G57" i="1"/>
  <c r="P18" i="4" l="1"/>
  <c r="N8" i="4"/>
  <c r="P8" i="4" s="1"/>
  <c r="Q11" i="7"/>
  <c r="P9" i="7"/>
  <c r="O26" i="3"/>
  <c r="P26" i="3" s="1"/>
  <c r="P83" i="1"/>
  <c r="O83" i="1"/>
  <c r="O82" i="1"/>
  <c r="P82" i="1"/>
  <c r="O58" i="1"/>
  <c r="P58" i="1" s="1"/>
  <c r="N23" i="5"/>
  <c r="O23" i="5" s="1"/>
  <c r="P23" i="5" s="1"/>
  <c r="O22" i="5"/>
  <c r="P22" i="5" s="1"/>
  <c r="O5" i="5"/>
  <c r="P5" i="5" s="1"/>
  <c r="N6" i="5"/>
  <c r="O6" i="5" s="1"/>
  <c r="P6" i="5" s="1"/>
  <c r="O31" i="4"/>
  <c r="P31" i="4" s="1"/>
  <c r="N33" i="4"/>
  <c r="N44" i="4"/>
  <c r="O42" i="4"/>
  <c r="P42" i="4" s="1"/>
  <c r="O43" i="4"/>
  <c r="P43" i="4" s="1"/>
  <c r="N45" i="4"/>
  <c r="O7" i="3"/>
  <c r="P7" i="3" s="1"/>
  <c r="P28" i="3"/>
  <c r="O28" i="3"/>
  <c r="N32" i="4"/>
  <c r="O30" i="4"/>
  <c r="P30" i="4" s="1"/>
  <c r="O6" i="3"/>
  <c r="P6" i="3" s="1"/>
  <c r="N54" i="4"/>
  <c r="O53" i="4"/>
  <c r="P53" i="4" s="1"/>
  <c r="O19" i="4"/>
  <c r="P19" i="4" s="1"/>
  <c r="N21" i="4"/>
  <c r="N59" i="1"/>
  <c r="P60" i="1"/>
  <c r="N20" i="4"/>
  <c r="O27" i="3"/>
  <c r="P27" i="3" s="1"/>
  <c r="N29" i="3"/>
  <c r="O8" i="4"/>
  <c r="O7" i="4"/>
  <c r="P7" i="4" s="1"/>
  <c r="N9" i="4"/>
  <c r="P84" i="1" l="1"/>
  <c r="P8" i="3"/>
  <c r="P24" i="5"/>
  <c r="P7" i="5"/>
  <c r="O54" i="4"/>
  <c r="P54" i="4"/>
  <c r="P55" i="4" s="1"/>
  <c r="O44" i="4"/>
  <c r="P44" i="4"/>
  <c r="P59" i="1"/>
  <c r="P61" i="1" s="1"/>
  <c r="O59" i="1"/>
  <c r="P21" i="4"/>
  <c r="O21" i="4"/>
  <c r="P33" i="4"/>
  <c r="O33" i="4"/>
  <c r="P29" i="3"/>
  <c r="P30" i="3" s="1"/>
  <c r="O29" i="3"/>
  <c r="P20" i="4"/>
  <c r="O20" i="4"/>
  <c r="P9" i="4"/>
  <c r="P10" i="4" s="1"/>
  <c r="O9" i="4"/>
  <c r="P32" i="4"/>
  <c r="O32" i="4"/>
  <c r="P45" i="4"/>
  <c r="P46" i="4" s="1"/>
  <c r="O45" i="4"/>
  <c r="P34" i="4" l="1"/>
  <c r="P22" i="4"/>
  <c r="L25" i="1" l="1"/>
  <c r="P29" i="1" s="1"/>
  <c r="P22" i="21"/>
  <c r="P23" i="21" s="1"/>
  <c r="Q20" i="21" s="1"/>
</calcChain>
</file>

<file path=xl/sharedStrings.xml><?xml version="1.0" encoding="utf-8"?>
<sst xmlns="http://schemas.openxmlformats.org/spreadsheetml/2006/main" count="7653" uniqueCount="444">
  <si>
    <t>Площадь</t>
  </si>
  <si>
    <t>Система покрытия</t>
  </si>
  <si>
    <t>Связующее</t>
  </si>
  <si>
    <t>Цвет</t>
  </si>
  <si>
    <t>Плотность</t>
  </si>
  <si>
    <t>Сухой остаток</t>
  </si>
  <si>
    <t>Толщина пленки</t>
  </si>
  <si>
    <t>Укрывистость</t>
  </si>
  <si>
    <t>Цена с НДС за кг</t>
  </si>
  <si>
    <t>Цена с НДС за литр</t>
  </si>
  <si>
    <t>Теоретический расход</t>
  </si>
  <si>
    <t>Теоретический рассход</t>
  </si>
  <si>
    <t>Стоимость, с НДС</t>
  </si>
  <si>
    <t>мокрой</t>
  </si>
  <si>
    <t>сухой</t>
  </si>
  <si>
    <t>теоретич.</t>
  </si>
  <si>
    <t>потери</t>
  </si>
  <si>
    <t>практ</t>
  </si>
  <si>
    <t>м2</t>
  </si>
  <si>
    <t>слой</t>
  </si>
  <si>
    <t>RAL</t>
  </si>
  <si>
    <t>кг/л</t>
  </si>
  <si>
    <t>%</t>
  </si>
  <si>
    <t>мкм</t>
  </si>
  <si>
    <t>м2/л</t>
  </si>
  <si>
    <t>Руб</t>
  </si>
  <si>
    <t>л/м2</t>
  </si>
  <si>
    <t>кг/м2</t>
  </si>
  <si>
    <t>Руб/м2</t>
  </si>
  <si>
    <t>Эпоксид</t>
  </si>
  <si>
    <t>-</t>
  </si>
  <si>
    <t>Литакоут Классик/Фрост</t>
  </si>
  <si>
    <t>Полиуретан</t>
  </si>
  <si>
    <t>Кол-во разбавителя  (от объема грунта) в %</t>
  </si>
  <si>
    <t>Кол-во разбавителя  (от объема финишного покрытия) в %</t>
  </si>
  <si>
    <t>Толщина покрытия (мкм)</t>
  </si>
  <si>
    <t>Стоиомсть на 1 кв.м. с НДС</t>
  </si>
  <si>
    <t>GlobalCoat 590</t>
  </si>
  <si>
    <t>GlobalTop 900</t>
  </si>
  <si>
    <t>Разбавитель GT76 для грунта</t>
  </si>
  <si>
    <t>Ортоксилол</t>
  </si>
  <si>
    <t>Растовритель GT87 для эмали</t>
  </si>
  <si>
    <t>Грунт-Эмаль Blank Universal</t>
  </si>
  <si>
    <t>Эмаль Blank Finish</t>
  </si>
  <si>
    <t>Система АКЗ для м/к под открытым небом или под навесом</t>
  </si>
  <si>
    <t>Система АКЗ для м/к внутри здания</t>
  </si>
  <si>
    <t>Литамастик 290</t>
  </si>
  <si>
    <t>Литапрайм Экспресс Ф</t>
  </si>
  <si>
    <t>Эпоксид с цинкофосфатом</t>
  </si>
  <si>
    <t>Антикоррозионная защита наружной поверхности до 120 градусов по Цельсию</t>
  </si>
  <si>
    <t>Литапрайм Цинк 80</t>
  </si>
  <si>
    <t>ПентриЦинк</t>
  </si>
  <si>
    <t>ПентриПур</t>
  </si>
  <si>
    <t>Литатерм 540 ЦИНК</t>
  </si>
  <si>
    <t>Литатерм Финиш</t>
  </si>
  <si>
    <t>ЦинкЭтил</t>
  </si>
  <si>
    <t>САК</t>
  </si>
  <si>
    <t>Антикоррозионная защита наружной поверхности от 120 до 600 градусов по Цельсию</t>
  </si>
  <si>
    <t>«Реконструкция базы производственно – технического обслуживания и комплектации». Этап 2.2. Техническое перевооружение опасного производственного объекта «группа резервуаров и сливо-наливных устройств БПТОИК». Система антикоррозионной защиты.</t>
  </si>
  <si>
    <t>Антикоррозионная защита внутренней поверхности, расход на 1кв.м.</t>
  </si>
  <si>
    <t>Практический расход рассход*</t>
  </si>
  <si>
    <t>Практический расход зависит от шероховатости поверхности, условий и метода нанесения, конфигурации окрашиваемой конструкции. Потери в  30% являются потерями при методе нанесения БВР</t>
  </si>
  <si>
    <t>Антикоррозионная защита внутренней поверхности, расход на 60 кв.м.</t>
  </si>
  <si>
    <t>Расход с учетом потерь</t>
  </si>
  <si>
    <t>Общее количество ЛКМ</t>
  </si>
  <si>
    <t>Литапрайм Экспресс</t>
  </si>
  <si>
    <t>Стоиомсть на 110 кв.м. с НДС, без потерь</t>
  </si>
  <si>
    <t>Epokind Prime</t>
  </si>
  <si>
    <t>KinDUR UV</t>
  </si>
  <si>
    <t>Литатанк стандарт</t>
  </si>
  <si>
    <t>1. Огнезащитное покрытие металлоконструкций. ПТМ – 2,4. Предел огнестойкости R60 (мин)</t>
  </si>
  <si>
    <t>№</t>
  </si>
  <si>
    <t>Толщина сухой пленки</t>
  </si>
  <si>
    <t>Предел огнестойкости</t>
  </si>
  <si>
    <t>Общая стоимость система ОГЗ за 1 м2</t>
  </si>
  <si>
    <t>мин.</t>
  </si>
  <si>
    <t>руб. с НДС</t>
  </si>
  <si>
    <t>Грунт Литапрайм Экспресс</t>
  </si>
  <si>
    <t>Огнезащитный состав ЭФФА ЭП-150 для УГВ режима</t>
  </si>
  <si>
    <t>2. Огнезащитное покрытие металлоконструкций. ПТМ – 2,4. Предел огнестойкости R90 (мин)</t>
  </si>
  <si>
    <t>3. Огнезащитное покрытие металлоконструкций. ПТМ – 2,4. Предел огнестойкости R120 (мин)</t>
  </si>
  <si>
    <t>4. Огнезащитное покрытие металлоконструкций. ПТМ – 3,4. Предел огнестойкости R45 (мин)</t>
  </si>
  <si>
    <t>5. Огнезащитное покрытие металлоконструкций. ПТМ – 3,4. Предел огнестойкости R60 (мин)</t>
  </si>
  <si>
    <t>6. Огнезащитное покрытие металлоконструкций. ПТМ – 3,4. Предел огнестойкости R90 (мин)</t>
  </si>
  <si>
    <t>7. Огнезащитное покрытие металлоконструкций. ПТМ – 3,4. Предел огнестойкости R120 (мин)</t>
  </si>
  <si>
    <t>8. Огнезащитное покрытие металлоконструкций. ПТМ – 5,8. Предел огнестойкости R30 (мин)</t>
  </si>
  <si>
    <t>9. Огнезащитное покрытие металлоконструкций. ПТМ – 5,8. Предел огнестойкости R45 (мин)</t>
  </si>
  <si>
    <t>10. Огнезащитное покрытие металлоконструкций. ПТМ – 5,8. Предел огнестойкости R60 (мин)</t>
  </si>
  <si>
    <t>11. Огнезащитное покрытие металлоконструкций. ПТМ – 5,8. Предел огнестойкости R90 (мин)</t>
  </si>
  <si>
    <t>12. Огнезащитное покрытие металлоконструкций. ПТМ – 5,8. Предел огнестойкости R120 (мин)</t>
  </si>
  <si>
    <t>13. Огнезащитное покрытие металлоконструкций. ПТМ – 5,8. Предел огнестойкости R150 (мин)</t>
  </si>
  <si>
    <t>14. Огнезащитное покрытие металлоконструкций. ПТМ – 7,2. Предел огнестойкости R90 (мин)</t>
  </si>
  <si>
    <t>15. Огнезащитное покрытие металлоконструкций. ПТМ – 7,2. Предел огнестойкости R120 (мин)</t>
  </si>
  <si>
    <t>16. Огнезащитное покрытие металлоконструкций. ПТМ – 7,2. Предел огнестойкости R150 (мин)</t>
  </si>
  <si>
    <t>ОГЗ для УГВ режима</t>
  </si>
  <si>
    <t>Эмаль Литакоут Классик Ral 7035</t>
  </si>
  <si>
    <t>Эмаль Литакоут Классик ral 7035</t>
  </si>
  <si>
    <t>Цена АКЗ</t>
  </si>
  <si>
    <t>Огнезащитный состав ЭФФА ЭП-150 (К) для УГВ режима</t>
  </si>
  <si>
    <t>Огнезащитный состав ЭФФА ЭП-150(К) для УГВ режима</t>
  </si>
  <si>
    <t>Огнезащитный состав ЭФФА ЭП-150(к) для УГВ режима</t>
  </si>
  <si>
    <t xml:space="preserve">Цена ОГЗ </t>
  </si>
  <si>
    <t>R60</t>
  </si>
  <si>
    <t>R90</t>
  </si>
  <si>
    <t>R120</t>
  </si>
  <si>
    <t>R45</t>
  </si>
  <si>
    <t>R30</t>
  </si>
  <si>
    <t>R150</t>
  </si>
  <si>
    <t>Цена системы на 1кв м</t>
  </si>
  <si>
    <t>АКЗ</t>
  </si>
  <si>
    <t>1. Внутреннее покрытие резервуаров, емкостей и аппаратов (в т.ч. антистатическое)</t>
  </si>
  <si>
    <r>
      <t xml:space="preserve">Температура эксплуатации 0 – 90 </t>
    </r>
    <r>
      <rPr>
        <b/>
        <sz val="11"/>
        <color rgb="FF000000"/>
        <rFont val="Arial"/>
        <family val="2"/>
        <charset val="204"/>
      </rPr>
      <t>°С</t>
    </r>
    <r>
      <rPr>
        <b/>
        <sz val="11"/>
        <color rgb="FF000000"/>
        <rFont val="Calibri"/>
        <family val="2"/>
        <charset val="204"/>
        <scheme val="minor"/>
      </rPr>
      <t xml:space="preserve"> (</t>
    </r>
    <r>
      <rPr>
        <b/>
        <sz val="11"/>
        <color rgb="FF000000"/>
        <rFont val="Arial"/>
        <family val="2"/>
        <charset val="204"/>
      </rPr>
      <t>в</t>
    </r>
    <r>
      <rPr>
        <b/>
        <sz val="11"/>
        <color rgb="FF000000"/>
        <rFont val="Calibri"/>
        <family val="2"/>
        <charset val="204"/>
        <scheme val="minor"/>
      </rPr>
      <t xml:space="preserve"> </t>
    </r>
    <r>
      <rPr>
        <b/>
        <sz val="11"/>
        <color rgb="FF000000"/>
        <rFont val="Arial"/>
        <family val="2"/>
        <charset val="204"/>
      </rPr>
      <t>жидкой</t>
    </r>
    <r>
      <rPr>
        <b/>
        <sz val="11"/>
        <color rgb="FF000000"/>
        <rFont val="Calibri"/>
        <family val="2"/>
        <charset val="204"/>
        <scheme val="minor"/>
      </rPr>
      <t xml:space="preserve"> </t>
    </r>
    <r>
      <rPr>
        <b/>
        <sz val="11"/>
        <color rgb="FF000000"/>
        <rFont val="Arial"/>
        <family val="2"/>
        <charset val="204"/>
      </rPr>
      <t>среде</t>
    </r>
    <r>
      <rPr>
        <b/>
        <sz val="11"/>
        <color rgb="FF000000"/>
        <rFont val="Calibri"/>
        <family val="2"/>
        <charset val="204"/>
        <scheme val="minor"/>
      </rPr>
      <t>)</t>
    </r>
  </si>
  <si>
    <t>Температура эксплуатации</t>
  </si>
  <si>
    <t>Срок службы</t>
  </si>
  <si>
    <t>°С</t>
  </si>
  <si>
    <t>лет</t>
  </si>
  <si>
    <t xml:space="preserve">2. Наружное покрытие резервуаров, емкостей и аппаратов </t>
  </si>
  <si>
    <t>Температура эксплуатации 0 – 120 °С</t>
  </si>
  <si>
    <t>3. Наружное покрытие неизолированных трубопроводов</t>
  </si>
  <si>
    <t>4. Наружное покрытие изолированных трубопроводов, емкостей и аппаратов</t>
  </si>
  <si>
    <t>5. Наружное покрытие изолированных трубопроводов и аппаратов</t>
  </si>
  <si>
    <t>Температура эксплуатации 120 – 350 °С</t>
  </si>
  <si>
    <t>Температура эксплуатации 0 – 90 °С</t>
  </si>
  <si>
    <t>Литапрайм экспресс</t>
  </si>
  <si>
    <t>Литакоут Классик Ral 7035</t>
  </si>
  <si>
    <t>до 120</t>
  </si>
  <si>
    <t>Литатанк Стандарт</t>
  </si>
  <si>
    <t>до 90</t>
  </si>
  <si>
    <t>до 200</t>
  </si>
  <si>
    <t>Общая стоимость ЛКП за 1 м2, по теор.расходу</t>
  </si>
  <si>
    <t xml:space="preserve">  Наружное покрытие металлоконструкций</t>
  </si>
  <si>
    <t xml:space="preserve"> Наружное покрытие железобетонных поверхностей</t>
  </si>
  <si>
    <t>Антикоррозионная защита наружной поверхности до 120 градусов по Цельсию для категории среды С4, срок службы до 25 лет согласно ISO 12944-5</t>
  </si>
  <si>
    <t>Антикоррозионная защита внутренней поверхности РВС</t>
  </si>
  <si>
    <t>Фенолэпоксид</t>
  </si>
  <si>
    <t>Антикоррозионная защита наружной поверхности РВС без теплоизоляции</t>
  </si>
  <si>
    <t>Литакоут Флекси</t>
  </si>
  <si>
    <t>Теоретический расход, с учетом коэффициента 1,43 (30% поетрь)</t>
  </si>
  <si>
    <t>Антикоррозионная защита наружной поверхности РВС под теплоизоляцию</t>
  </si>
  <si>
    <t>Толщина мокрой пленки для достижения номинальной толщины сухого слоя, мкм</t>
  </si>
  <si>
    <t>0% разбавл.</t>
  </si>
  <si>
    <t>2,5% разбавл.</t>
  </si>
  <si>
    <t>5% разбавл.</t>
  </si>
  <si>
    <t>Толщина сухого слоя Blank Universal 140 мкм</t>
  </si>
  <si>
    <t>10 % разбавл.</t>
  </si>
  <si>
    <t>Толщина сухого слоя Blank Tank 125 мкм</t>
  </si>
  <si>
    <t>Толщина сухого слоя Blank Tank 250 мкм</t>
  </si>
  <si>
    <t>Толщина сухого слоя Blank Finish 60мкм</t>
  </si>
  <si>
    <t>Наружная антикоррозионная защита м/к и емкостного оборудования до 120 градусов по Цельсию</t>
  </si>
  <si>
    <t>Теоретический рассход с учетом 30% потерь</t>
  </si>
  <si>
    <t>Elcon Max Therm</t>
  </si>
  <si>
    <t>черный</t>
  </si>
  <si>
    <t>КО</t>
  </si>
  <si>
    <t>Наружная антикоррозионная защита м/к и емкостного оборудования до 300 градусов по Цельсию</t>
  </si>
  <si>
    <t>Антикоррозионная защита наружной поверхности РВС без теплоизоляции ФИНИШ Литакоут Классик/Фрост на 1 кв.м.</t>
  </si>
  <si>
    <t>Антикоррозионная защита наружной поверхности РВС без теплоизоляции ФИНИШ Литакоут Классик/Фрост на 1900 кв.м.</t>
  </si>
  <si>
    <t>Практический расход, с учетом коэффициента потерь</t>
  </si>
  <si>
    <t>ПТМ</t>
  </si>
  <si>
    <t>Толщина ОГЗ, мм</t>
  </si>
  <si>
    <t>Расход</t>
  </si>
  <si>
    <t>Огракс</t>
  </si>
  <si>
    <t>Декотерм</t>
  </si>
  <si>
    <t>Предел</t>
  </si>
  <si>
    <t>Площаль ( по расходу Декотерм )</t>
  </si>
  <si>
    <t>Увеличение колтичества ОГЗ, по сравнению с Декотерм, в процентах</t>
  </si>
  <si>
    <t>Масса ОГЗ, кг</t>
  </si>
  <si>
    <t>Итого</t>
  </si>
  <si>
    <t>ЭФФА ЭП-150 R60 ПТМ 5,8 мм</t>
  </si>
  <si>
    <t>Разбавитель  для грунта</t>
  </si>
  <si>
    <t>Растовритель  для эмали</t>
  </si>
  <si>
    <t>Акрус с</t>
  </si>
  <si>
    <t>Акрус ур</t>
  </si>
  <si>
    <t>Акрил</t>
  </si>
  <si>
    <t>Литапрайм Акрил</t>
  </si>
  <si>
    <t>эпоксид</t>
  </si>
  <si>
    <t>Продолжительность полимеризации не менее 4 недель. Содержание влаги
не более 4%. Подготовка поверхности выполняется закрытой струей
абразива, алмазным шлифованием или другим способом, позволяющим
зашероховать прилегающие участки бетона и удалить цементное молочко.</t>
  </si>
  <si>
    <t>Грунт-Эмаль Blank HP</t>
  </si>
  <si>
    <t>Ral</t>
  </si>
  <si>
    <t>Система АКЗ согласно ISO 12944-5 более 25 лет</t>
  </si>
  <si>
    <t>Внутренняя поверхность</t>
  </si>
  <si>
    <t>Грунт-Эмаль Blank Tank</t>
  </si>
  <si>
    <t>Литамастик Универсал 20</t>
  </si>
  <si>
    <t>Антикоррозионная защита внутренней поверхности РВС под техническую воду</t>
  </si>
  <si>
    <t>Cистема АКЗ "ВМП"</t>
  </si>
  <si>
    <t>Стоимость</t>
  </si>
  <si>
    <t>л</t>
  </si>
  <si>
    <t>Изолеп Мастик</t>
  </si>
  <si>
    <t>Политон УР</t>
  </si>
  <si>
    <t>Общая стоимость (Руб)</t>
  </si>
  <si>
    <t>Велефорс ФД</t>
  </si>
  <si>
    <t>Сулокавер 2к</t>
  </si>
  <si>
    <t>Литум</t>
  </si>
  <si>
    <t>Бланк</t>
  </si>
  <si>
    <t>Велесгард</t>
  </si>
  <si>
    <t>Огнезащитный состав, R60, ПТМ 5,8 ,целлюлозный режим</t>
  </si>
  <si>
    <t xml:space="preserve">ООО "Башкирская Медь" Месторождение "Юбилейное" </t>
  </si>
  <si>
    <t>Расход с учетом 30% потерь</t>
  </si>
  <si>
    <t>Огнезащитный состав, R60, ПТМ 2,46 ,целлюлозный режим</t>
  </si>
  <si>
    <t>ЭФФА ЭП-150 R60 ПТМ 2,46 мм</t>
  </si>
  <si>
    <r>
      <rPr>
        <b/>
        <sz val="11"/>
        <color theme="1"/>
        <rFont val="Calibri"/>
        <family val="2"/>
        <charset val="204"/>
        <scheme val="minor"/>
      </rPr>
      <t>*Примечание</t>
    </r>
    <r>
      <rPr>
        <sz val="11"/>
        <color theme="1"/>
        <rFont val="Calibri"/>
        <family val="2"/>
        <charset val="204"/>
        <scheme val="minor"/>
      </rPr>
      <t xml:space="preserve"> Стоимость одного квадратного метра огнезащитного покрытия зависит от предела гнестойкости здания и приведенной толщины металла</t>
    </r>
  </si>
  <si>
    <t>Пламкор-2</t>
  </si>
  <si>
    <t>ЭФФА-01</t>
  </si>
  <si>
    <t>Пламкор-3</t>
  </si>
  <si>
    <t>ЭФФА ЭП-150</t>
  </si>
  <si>
    <t>SternFire</t>
  </si>
  <si>
    <t>Masscopoxy 1264</t>
  </si>
  <si>
    <t>Masscopur 14</t>
  </si>
  <si>
    <t>Экомаст 280</t>
  </si>
  <si>
    <t>Экомаст 74</t>
  </si>
  <si>
    <t>ЭКОМАССТ ПОЛИУРЕТАН</t>
  </si>
  <si>
    <t>ЛИТАКОУТ</t>
  </si>
  <si>
    <t>полиуретан</t>
  </si>
  <si>
    <t>Грунт ЭПИПРАЙМ HS</t>
  </si>
  <si>
    <t>грунт ЭмальИндосингл ПУ</t>
  </si>
  <si>
    <t>ПУ</t>
  </si>
  <si>
    <t>ЭП</t>
  </si>
  <si>
    <t xml:space="preserve">Стоимость покрытия на кв.м. руб/м </t>
  </si>
  <si>
    <t>Литакоут Фрост</t>
  </si>
  <si>
    <t>Выгода в %</t>
  </si>
  <si>
    <t>ЗИЛ1600М</t>
  </si>
  <si>
    <t>Площадь*</t>
  </si>
  <si>
    <t xml:space="preserve">*Площадь, согласно теоретическим данным
•	Расчет с учетом 30% технологических потерь.
•	Степень подготовки поверхности перед покраской - минимальная, ST2 (ISO 8501)                             
•	Blank Universal – 2х компонентная эпоксидная грунт – эмаль
•	Blank Finish – 2 х компонентная полиуретановая эмаль                                                                                                                                                                                                        </t>
  </si>
  <si>
    <t>Расход ЛКМ</t>
  </si>
  <si>
    <t>ИТОГО</t>
  </si>
  <si>
    <t>Антикор БЭПМ</t>
  </si>
  <si>
    <t>алопол</t>
  </si>
  <si>
    <t>Литапрайм Экспресс Мио</t>
  </si>
  <si>
    <t>Эпоксид с цинком</t>
  </si>
  <si>
    <t>АКЗ ЛИТУМ</t>
  </si>
  <si>
    <t>АКЗ Blank</t>
  </si>
  <si>
    <t>Blank Zinc</t>
  </si>
  <si>
    <t>Blank mio</t>
  </si>
  <si>
    <t>Blank Finish</t>
  </si>
  <si>
    <t>Цинол</t>
  </si>
  <si>
    <t>Алпол</t>
  </si>
  <si>
    <t>Микроцинк</t>
  </si>
  <si>
    <t>Примакор</t>
  </si>
  <si>
    <t>PRIMACOR SBA Microzinc</t>
  </si>
  <si>
    <t>Primatan SP</t>
  </si>
  <si>
    <t>серый</t>
  </si>
  <si>
    <t>Торговая марка ЛКМ</t>
  </si>
  <si>
    <t>Наименование</t>
  </si>
  <si>
    <t>Описание</t>
  </si>
  <si>
    <t>Толщина</t>
  </si>
  <si>
    <t>Кол-во слоев, для достижения требуемой толщины</t>
  </si>
  <si>
    <t>Теоретический расход, для достижения требуемой ТСП, кг на кв.м.</t>
  </si>
  <si>
    <t>Цена за 1 кг с НДС</t>
  </si>
  <si>
    <t>Стоимость окрашивания 1 кв.м. руб с НДС</t>
  </si>
  <si>
    <t>Двухкомпонентная эпоксидная грунт</t>
  </si>
  <si>
    <t>Двухкомпо-нентная полиуретановая эмаль Ral 7036</t>
  </si>
  <si>
    <t>Итого стоиомсть на кв.м, руб.</t>
  </si>
  <si>
    <t xml:space="preserve"> Система антикоррозионной защиты  ТМ "Литум" для наружных поверхности м/к</t>
  </si>
  <si>
    <t xml:space="preserve"> Система антикоррозионной защиты  ТМ "Литум" для внутренней поверхности</t>
  </si>
  <si>
    <t>Двухкомпонентная эпоксидная грунт-эмаль</t>
  </si>
  <si>
    <t>Стоимость разбавителя на 1 кв.м.</t>
  </si>
  <si>
    <t>Название проекта (в идеале по ПД)</t>
  </si>
  <si>
    <t>Адрес</t>
  </si>
  <si>
    <t>Участвующие организации</t>
  </si>
  <si>
    <t>452780, Республика Башкортостан, Туймазинский район, с. Серафимовский, ул. Индустриальная, д. 10</t>
  </si>
  <si>
    <t>ОПИ Декотерм-Эпокси</t>
  </si>
  <si>
    <t>ООО "СОЗАИТ"
ОБЩЕСТВО С ОГРАНИЧЕННОЙ ОТВЕТСТВЕННОСТЬЮ "СЕРАФИМОВСКИЙ ОПЫТНЫЙ ЗАВОД АВТОМАТИКИ И ТЕЛЕМЕХАНИКИ"</t>
  </si>
  <si>
    <t>ё</t>
  </si>
  <si>
    <t>7,5 % разбавл.</t>
  </si>
  <si>
    <t>Толщина сухого слоя Blank HP 140мкм</t>
  </si>
  <si>
    <t>Толщина сухого слоя Blank HP 240мкм</t>
  </si>
  <si>
    <t>Огнезащитный состав ЭФФА ЭП-150 или ЭФФА ЭП-150К</t>
  </si>
  <si>
    <t>по Ral</t>
  </si>
  <si>
    <t>ОГЗ для целлюлозного режима</t>
  </si>
  <si>
    <t>1. Огнезащитное покрытие металлоконструкций. ПТМ – 4,8. Предел огнестойкости R45 (мин)</t>
  </si>
  <si>
    <t>Грунт Blank Universal</t>
  </si>
  <si>
    <t>Эмаль Blank Finish Ral 7004</t>
  </si>
  <si>
    <t>Огнезащитный состав ЭФФА ЭП-150</t>
  </si>
  <si>
    <t>1. Огнезащитное покрытие металлоконструкций. ПТМ – 4,8. Предел огнестойкости R90 (мин)</t>
  </si>
  <si>
    <t>Теплоизолирующий состав ЭФФА КТЭ</t>
  </si>
  <si>
    <t>Общая стоимость система ОГЗ за 1 м2, по теоретическому расходу</t>
  </si>
  <si>
    <t>PRIMAPOX Metallbase ZP 80</t>
  </si>
  <si>
    <t>в зависимости от цвета</t>
  </si>
  <si>
    <t>Pentricor EP 300</t>
  </si>
  <si>
    <t>Pentricolor PUR 500</t>
  </si>
  <si>
    <t>Грунт БАСА 2К ЭП-0110</t>
  </si>
  <si>
    <t>Эмаль БАСА 2К ПУ-110</t>
  </si>
  <si>
    <t>Акрус Эпокс С</t>
  </si>
  <si>
    <t>Система АКЗ №1 теоретический расход</t>
  </si>
  <si>
    <t>Система АКЗ №1 расход с учётом 30% потерь</t>
  </si>
  <si>
    <t>Система АКЗ №2 теоретический расход</t>
  </si>
  <si>
    <t>Система АКЗ №2 расход с учётом 30% потерь</t>
  </si>
  <si>
    <t>Литамастик 280</t>
  </si>
  <si>
    <t>Литакоут Классик</t>
  </si>
  <si>
    <t>Разбавитель (5%)</t>
  </si>
  <si>
    <t>Потери</t>
  </si>
  <si>
    <t>520 с доставкой</t>
  </si>
  <si>
    <t>за квадрат</t>
  </si>
  <si>
    <t>мат</t>
  </si>
  <si>
    <t>сольвент</t>
  </si>
  <si>
    <t>литум</t>
  </si>
  <si>
    <t>Blank HP</t>
  </si>
  <si>
    <t>без НДС</t>
  </si>
  <si>
    <t>Наружка</t>
  </si>
  <si>
    <t>Внутрянка</t>
  </si>
  <si>
    <t>Шахтная Лестница</t>
  </si>
  <si>
    <t xml:space="preserve"> По элементам ПУСТО, но в итого 3 тонны металла</t>
  </si>
  <si>
    <t>Площакди на крыше</t>
  </si>
  <si>
    <t>L50x5</t>
  </si>
  <si>
    <t>Лист</t>
  </si>
  <si>
    <t>Площадки и стремянки пеногенераторов</t>
  </si>
  <si>
    <t>Просечка</t>
  </si>
  <si>
    <t>Швеллер 8</t>
  </si>
  <si>
    <t>Кольцо Жесткости</t>
  </si>
  <si>
    <t>L63x6</t>
  </si>
  <si>
    <t>Аналог</t>
  </si>
  <si>
    <t>Краска LAKRA БТ-177</t>
  </si>
  <si>
    <t>Полак ЭП-21</t>
  </si>
  <si>
    <t>Грунтовка: ГФ-021</t>
  </si>
  <si>
    <t xml:space="preserve">     Эмаль ОС 12-03</t>
  </si>
  <si>
    <t>Эмаль ПФ-115</t>
  </si>
  <si>
    <t>Грунт ЭП-0199</t>
  </si>
  <si>
    <t xml:space="preserve">  Констакор-ТЭП</t>
  </si>
  <si>
    <t xml:space="preserve"> Эмаль ПФ-115</t>
  </si>
  <si>
    <t>Эмаль КО-814</t>
  </si>
  <si>
    <t>Эмаль Церта</t>
  </si>
  <si>
    <t>Грунт-эмаль AMETCOR PRO</t>
  </si>
  <si>
    <t xml:space="preserve">  Краска Литамастик 290 </t>
  </si>
  <si>
    <t>Грунтовка: ГФ-021 с ПФ</t>
  </si>
  <si>
    <t xml:space="preserve">  Краска Литамастик 290</t>
  </si>
  <si>
    <t>Примечание</t>
  </si>
  <si>
    <t>Внутрянка, для более точного подбора нужно ТЗ</t>
  </si>
  <si>
    <t>Что-то химстойкое, для более точного подбора нужно ТЗ</t>
  </si>
  <si>
    <t>Если не нужно термостойкое покрытие</t>
  </si>
  <si>
    <t>Пирокор</t>
  </si>
  <si>
    <t>толщина</t>
  </si>
  <si>
    <t>расход</t>
  </si>
  <si>
    <t>цена</t>
  </si>
  <si>
    <t>итого</t>
  </si>
  <si>
    <t>ЭФФА ЭП-150 УГВ</t>
  </si>
  <si>
    <t>Разбавитель  Сольвент, 5%</t>
  </si>
  <si>
    <t>Разбавитель Сольвент 5 %</t>
  </si>
  <si>
    <t xml:space="preserve"> Расход</t>
  </si>
  <si>
    <t>1 слой Blank HP</t>
  </si>
  <si>
    <t>2 слой Blank HP</t>
  </si>
  <si>
    <t>кг</t>
  </si>
  <si>
    <t>АКРУС (Э)</t>
  </si>
  <si>
    <t>,,,</t>
  </si>
  <si>
    <t>Огракс-СКЭ</t>
  </si>
  <si>
    <t>Цена за КГ</t>
  </si>
  <si>
    <t>Декотерм ЭПОКСИ</t>
  </si>
  <si>
    <t>ИТОГО сумма руб, по всем пределам</t>
  </si>
  <si>
    <t>ЦВГ</t>
  </si>
  <si>
    <t>Прометей PP950</t>
  </si>
  <si>
    <t>1,6+1,74</t>
  </si>
  <si>
    <t>2,3+0,3</t>
  </si>
  <si>
    <t>УГВ</t>
  </si>
  <si>
    <t>3,2+2,9</t>
  </si>
  <si>
    <t>УВГ</t>
  </si>
  <si>
    <t>Литачар</t>
  </si>
  <si>
    <t>ЭФФА</t>
  </si>
  <si>
    <t>Система ОГЗ, R120, ПТМ 3,4 ,УГВ режим.</t>
  </si>
  <si>
    <t>Система ОГЗ, R45, ПТМ 3,4 ,УГВ режим.</t>
  </si>
  <si>
    <t>Система ОГЗ, R90, ПТМ 3,4 ,УГВ режим.</t>
  </si>
  <si>
    <t>Ral7004</t>
  </si>
  <si>
    <t>Система ОГЗ, R45, ПТМ 5, 8,УГВ режим.</t>
  </si>
  <si>
    <t>Система ОГЗ, R90, ПТМ 5,8 ,УГВ режим.</t>
  </si>
  <si>
    <t>Система ОГЗ, R120, ПТМ 5,8 ,УГВ режим.</t>
  </si>
  <si>
    <t>Декотерм-эпокси</t>
  </si>
  <si>
    <t>Изолэп primer</t>
  </si>
  <si>
    <t>ПолитонУР УФ</t>
  </si>
  <si>
    <t>Система ОГЗ, R60, ПТМ 5,8 ,УГВ режим. II группа сложности</t>
  </si>
  <si>
    <t>Теоретический кол-во материала</t>
  </si>
  <si>
    <t>Количество материала с учетом группы сложности</t>
  </si>
  <si>
    <t>Теоретический расход на кв.м.</t>
  </si>
  <si>
    <t>Ral 7036</t>
  </si>
  <si>
    <t>Грунт-Эмаль GlobalCoat 590</t>
  </si>
  <si>
    <t>Эмаль GlobalTop 900</t>
  </si>
  <si>
    <t>Антикоррозионная система для наружной поверхности . Прогнозируемый срок службы более 25 лет в условиях открытой промышленной атмосферы УХЛ1, ХЛ1</t>
  </si>
  <si>
    <r>
      <rPr>
        <b/>
        <sz val="12"/>
        <rFont val="Times New Roman"/>
        <family val="1"/>
        <charset val="204"/>
      </rPr>
      <t>Blank Universal</t>
    </r>
    <r>
      <rPr>
        <sz val="12"/>
        <rFont val="Times New Roman"/>
        <family val="1"/>
        <charset val="204"/>
      </rPr>
      <t xml:space="preserve"> - Грунт-эмаль на основе модифицированной эпоксидной смолы и полиаминного отвердителя. Грунт-эмаль обладает высоким сухими остатком
Применятся в качестве защиты от коррозии для металлических и бетонных поверхностей эксплуатируемых, а различных климатических условиях. Может использоваться как в системе покрытий, так и как самостоятельное покрытие. Возможно нанесение на оцинкованные поверхности, изделия из алюминия.
</t>
    </r>
    <r>
      <rPr>
        <b/>
        <sz val="12"/>
        <rFont val="Times New Roman"/>
        <family val="1"/>
        <charset val="204"/>
      </rPr>
      <t>Blank Finish</t>
    </r>
    <r>
      <rPr>
        <sz val="12"/>
        <rFont val="Times New Roman"/>
        <family val="1"/>
        <charset val="204"/>
      </rPr>
      <t xml:space="preserve"> - полиуретановая эмаль. Обладает высокими декоративными свойствами, стойкостью к воздействию атмосферных факторов, в том числе, к УФ-излучению.
Стойкость к воздействию высокой температуры: 120С (сухое тепло)											
Подготовка поверхности: Для максимального срока службы рекомендуется подготовить поверхность до Sa 2½ (ISO 8501-1)											</t>
    </r>
  </si>
  <si>
    <t>7% разбавл.</t>
  </si>
  <si>
    <t>Толщина сухого слоя Blank Universal 180 мкм</t>
  </si>
  <si>
    <t>3% разбавл.</t>
  </si>
  <si>
    <t>7 % разбавл.</t>
  </si>
  <si>
    <t>Теоретический расход ЛКМ</t>
  </si>
  <si>
    <t>Теоретический расход лакокрасочного материала на 1 кв.м.</t>
  </si>
  <si>
    <t>Антикоррозионная система для защиты от коррозии   металлических конструкций, в условиях открытой промышленной атмосферы(Тип II) УХЛ1, ХЛ1, срок службы более 25 лет.</t>
  </si>
  <si>
    <t>сухой пленки</t>
  </si>
  <si>
    <t>Грунт-Эмаль Blank One</t>
  </si>
  <si>
    <t>Грунт-Эмаль Blank DTM</t>
  </si>
  <si>
    <t xml:space="preserve">Антикоррозионная система для наружной поверхности . </t>
  </si>
  <si>
    <t>Кол-во разбавителя "Сольвент"  (от объема грунта) в %</t>
  </si>
  <si>
    <t>Кол-во разбавителя "Бутилацетат"  (от объема финишного покрытия) в %</t>
  </si>
  <si>
    <t>Литакоут Фрост У</t>
  </si>
  <si>
    <t>Эпоксид железной слюдкой</t>
  </si>
  <si>
    <t>Расход с учетом поетрь</t>
  </si>
  <si>
    <t>Расход ЛКМ с учетом 30% потерь( к=1,43)</t>
  </si>
  <si>
    <r>
      <rPr>
        <b/>
        <sz val="12"/>
        <rFont val="Times New Roman"/>
        <family val="1"/>
        <charset val="204"/>
      </rPr>
      <t>Blank HP</t>
    </r>
    <r>
      <rPr>
        <sz val="12"/>
        <rFont val="Times New Roman"/>
        <family val="1"/>
        <charset val="204"/>
      </rPr>
      <t xml:space="preserve"> - Грунт-эмаль на основе модифицированной эпоксидной смолы и полиаминного отвердителя. Грунт-эмаль обладает высоким сухими остатком
Применятся в качестве защиты от коррозии для металлических и бетонных поверхностей морских и речных гидротехнических сооружений, таких как портовые сооружения, подземные пожарные резервуары эксплуатируемые, в различных климатических условиях.
</t>
    </r>
    <r>
      <rPr>
        <b/>
        <sz val="12"/>
        <rFont val="Times New Roman"/>
        <family val="1"/>
        <charset val="204"/>
      </rPr>
      <t>Blank Finish</t>
    </r>
    <r>
      <rPr>
        <sz val="12"/>
        <rFont val="Times New Roman"/>
        <family val="1"/>
        <charset val="204"/>
      </rPr>
      <t xml:space="preserve"> - колеруемая полиуретановая эмаль. Обладает высокими декоративными свойствами, стойкостью к воздействию атмосферных факторов, в том числе, к УФ-излучению.
Стойкость к воздействию высокой температуры: 120С (сухое тепло)	
</t>
    </r>
    <r>
      <rPr>
        <b/>
        <sz val="12"/>
        <rFont val="Times New Roman"/>
        <family val="1"/>
        <charset val="204"/>
      </rPr>
      <t>Подготовка поверхности</t>
    </r>
    <r>
      <rPr>
        <sz val="12"/>
        <rFont val="Times New Roman"/>
        <family val="1"/>
        <charset val="204"/>
      </rPr>
      <t xml:space="preserve">: Для максимального срока службы рекомендуется подготовить поверхность до Sa 2½ (ISO 8501-1)
</t>
    </r>
    <r>
      <rPr>
        <b/>
        <sz val="12"/>
        <rFont val="Times New Roman"/>
        <family val="1"/>
        <charset val="204"/>
      </rPr>
      <t>Метод нанесения:</t>
    </r>
    <r>
      <rPr>
        <sz val="12"/>
        <rFont val="Times New Roman"/>
        <family val="1"/>
        <charset val="204"/>
      </rPr>
      <t xml:space="preserve">	Кисть, воздушный, безвоздушный.									</t>
    </r>
  </si>
  <si>
    <t>Литатанк Стронг</t>
  </si>
  <si>
    <t>Кол-во разбавителя   в %</t>
  </si>
  <si>
    <t>Опросный лист №1</t>
  </si>
  <si>
    <t>Опросный лист №2</t>
  </si>
  <si>
    <t>Опросный лист №3</t>
  </si>
  <si>
    <t>Опросный лист №4</t>
  </si>
  <si>
    <t>Опросный лист №5</t>
  </si>
  <si>
    <t>Опросный лист №6</t>
  </si>
  <si>
    <t>Опросный лист №7</t>
  </si>
  <si>
    <t>Опросный лист №8</t>
  </si>
  <si>
    <t>Опросный лист №9</t>
  </si>
  <si>
    <t>Опросный лист №10</t>
  </si>
  <si>
    <t>Опросный лист №11</t>
  </si>
  <si>
    <t>Опросный лист №12</t>
  </si>
  <si>
    <t>Опросный лист №13</t>
  </si>
  <si>
    <t>Опросный лист №14</t>
  </si>
  <si>
    <t>Опросный лист №15</t>
  </si>
  <si>
    <t>Опросный лист №16</t>
  </si>
  <si>
    <t>руб с НДС</t>
  </si>
  <si>
    <t>руб/кв.м.</t>
  </si>
  <si>
    <t>Стоимость на 1кв.м., с  НДС</t>
  </si>
  <si>
    <t>Грунт-Эмаль Blank ONE</t>
  </si>
  <si>
    <t>Расход ЛКМ с минимальными потерями</t>
  </si>
  <si>
    <t>Blank ZINC</t>
  </si>
  <si>
    <t>Blank MIO</t>
  </si>
  <si>
    <t xml:space="preserve"> NEOMARINE INELKA ZINC</t>
  </si>
  <si>
    <t>NEOMARINE INELKA EPOXY</t>
  </si>
  <si>
    <t>INELKA 500 PU</t>
  </si>
  <si>
    <t>Система ОГЗ, R90, ПТМ 2.44 ,УГВ режим.</t>
  </si>
  <si>
    <t>грунт</t>
  </si>
  <si>
    <t>киндур</t>
  </si>
  <si>
    <t>Шероховатость м/к</t>
  </si>
  <si>
    <t>Теоретический расход, с учетом профиля поверхности на 1ый слой</t>
  </si>
  <si>
    <t>Система АКЗ для внутренней поверхности</t>
  </si>
  <si>
    <t>Система АКЗ для наружной поверхности</t>
  </si>
  <si>
    <t>Антикоррозионная система для защиты от коррозии металлических конструкций, в условиях открытой промышленной атмосферы(Тип II) УХЛ1, ХЛ1, срок службы более 25 лет.</t>
  </si>
  <si>
    <t>Эпоксидная цинконаполненная грунтовка Blank ZINC</t>
  </si>
  <si>
    <t>Двухкомпонентная эпоксидная эмаль с содержанием окиси железа Blank MIO</t>
  </si>
  <si>
    <t>наименование</t>
  </si>
  <si>
    <t>цвет</t>
  </si>
  <si>
    <t>количество слоев</t>
  </si>
  <si>
    <t>толщина сухой пленки, мкм</t>
  </si>
  <si>
    <t>сухой остаток %</t>
  </si>
  <si>
    <t>грунт ГФ-021</t>
  </si>
  <si>
    <t>серый, красный</t>
  </si>
  <si>
    <t>ПФ-115</t>
  </si>
  <si>
    <t>любой по каталогу RAL</t>
  </si>
  <si>
    <t>Деколак Универсал</t>
  </si>
  <si>
    <t>Стоимость кг с НДС</t>
  </si>
  <si>
    <t>теоретическая стоимость кв.м., рублей</t>
  </si>
  <si>
    <t>расход теорет., кг/м2</t>
  </si>
  <si>
    <t>Кол-во разбавителя Сольвент нефтяной  (от объема грунта) в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</si>
</sst>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0"/>
    <numFmt numFmtId="168" formatCode="_-* #,##0.00_р_._-;\-* #,##0.00_р_._-;_-* &quot;-&quot;???_р_._-;_-@_-"/>
  </numFmts>
  <fonts count="4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mbria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Cambria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2"/>
      <color rgb="FFFF0000"/>
      <name val="Cambria"/>
      <family val="1"/>
      <charset val="204"/>
    </font>
    <font>
      <sz val="14"/>
      <color theme="1"/>
      <name val="Calibri"/>
      <family val="2"/>
      <charset val="204"/>
      <scheme val="minor"/>
    </font>
    <font>
      <sz val="11"/>
      <color rgb="FF1A1A1A"/>
      <name val="Calibri"/>
      <family val="2"/>
      <charset val="204"/>
    </font>
    <font>
      <sz val="12"/>
      <color rgb="FFFF0000"/>
      <name val="Times New Roman"/>
      <family val="1"/>
      <charset val="204"/>
    </font>
    <font>
      <sz val="8"/>
      <name val="Calibri"/>
      <scheme val="minor"/>
    </font>
    <font>
      <sz val="8"/>
      <name val="Arial Cyr"/>
      <charset val="204"/>
    </font>
    <font>
      <b/>
      <sz val="8"/>
      <name val="Arial"/>
      <family val="2"/>
      <charset val="204"/>
    </font>
    <font>
      <b/>
      <sz val="8"/>
      <name val="Arial Cyr"/>
      <charset val="204"/>
    </font>
    <font>
      <sz val="11"/>
      <color theme="1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0000"/>
        <bgColor rgb="FF003300"/>
      </patternFill>
    </fill>
    <fill>
      <patternFill patternType="solid">
        <fgColor rgb="FF355269"/>
        <bgColor rgb="FF333333"/>
      </patternFill>
    </fill>
    <fill>
      <patternFill patternType="solid">
        <fgColor rgb="FFEEEEEE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59999389629810485"/>
      </patternFill>
    </fill>
  </fills>
  <borders count="8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525">
    <xf numFmtId="0" fontId="0" fillId="0" borderId="0" xfId="0"/>
    <xf numFmtId="0" fontId="14" fillId="0" borderId="0" xfId="0" applyFont="1" applyAlignment="1">
      <alignment horizontal="center"/>
    </xf>
    <xf numFmtId="0" fontId="15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" fontId="15" fillId="0" borderId="2" xfId="1" applyNumberFormat="1" applyFont="1" applyBorder="1" applyAlignment="1">
      <alignment horizontal="center" vertical="center" wrapText="1"/>
    </xf>
    <xf numFmtId="164" fontId="15" fillId="0" borderId="2" xfId="1" applyNumberFormat="1" applyFont="1" applyBorder="1" applyAlignment="1">
      <alignment horizontal="center" vertical="center" wrapText="1"/>
    </xf>
    <xf numFmtId="2" fontId="15" fillId="0" borderId="2" xfId="1" applyNumberFormat="1" applyFont="1" applyBorder="1" applyAlignment="1">
      <alignment horizontal="center" vertical="center" wrapText="1"/>
    </xf>
    <xf numFmtId="2" fontId="16" fillId="0" borderId="2" xfId="1" applyNumberFormat="1" applyFont="1" applyBorder="1" applyAlignment="1">
      <alignment horizontal="center" vertical="center" wrapText="1"/>
    </xf>
    <xf numFmtId="165" fontId="16" fillId="0" borderId="2" xfId="1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/>
    </xf>
    <xf numFmtId="0" fontId="15" fillId="3" borderId="2" xfId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6" fillId="0" borderId="2" xfId="1" applyNumberFormat="1" applyFont="1" applyBorder="1" applyAlignment="1">
      <alignment horizontal="center" vertical="center" wrapText="1"/>
    </xf>
    <xf numFmtId="164" fontId="16" fillId="0" borderId="2" xfId="1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/>
    </xf>
    <xf numFmtId="0" fontId="16" fillId="3" borderId="2" xfId="1" applyFont="1" applyFill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165" fontId="14" fillId="0" borderId="19" xfId="0" applyNumberFormat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165" fontId="14" fillId="0" borderId="22" xfId="0" applyNumberFormat="1" applyFont="1" applyBorder="1" applyAlignment="1">
      <alignment horizontal="center" vertical="center"/>
    </xf>
    <xf numFmtId="165" fontId="19" fillId="0" borderId="2" xfId="1" applyNumberFormat="1" applyFont="1" applyBorder="1" applyAlignment="1">
      <alignment horizontal="center" vertical="center" wrapText="1"/>
    </xf>
    <xf numFmtId="2" fontId="19" fillId="0" borderId="2" xfId="1" applyNumberFormat="1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21" xfId="1" applyFont="1" applyBorder="1" applyAlignment="1">
      <alignment vertical="center" wrapText="1"/>
    </xf>
    <xf numFmtId="2" fontId="15" fillId="0" borderId="21" xfId="1" applyNumberFormat="1" applyFont="1" applyBorder="1" applyAlignment="1">
      <alignment horizontal="center" vertical="center" wrapText="1"/>
    </xf>
    <xf numFmtId="165" fontId="14" fillId="0" borderId="2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5" fontId="21" fillId="5" borderId="2" xfId="0" applyNumberFormat="1" applyFont="1" applyFill="1" applyBorder="1" applyAlignment="1">
      <alignment horizontal="center" vertical="center"/>
    </xf>
    <xf numFmtId="0" fontId="15" fillId="6" borderId="2" xfId="1" applyFont="1" applyFill="1" applyBorder="1" applyAlignment="1">
      <alignment horizontal="center" vertical="center" wrapText="1"/>
    </xf>
    <xf numFmtId="0" fontId="25" fillId="7" borderId="31" xfId="0" applyFont="1" applyFill="1" applyBorder="1" applyAlignment="1">
      <alignment horizontal="center" vertical="center" wrapText="1"/>
    </xf>
    <xf numFmtId="0" fontId="25" fillId="7" borderId="34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31" xfId="0" applyFont="1" applyBorder="1" applyAlignment="1">
      <alignment vertical="center" wrapText="1"/>
    </xf>
    <xf numFmtId="0" fontId="10" fillId="0" borderId="34" xfId="0" applyFont="1" applyBorder="1" applyAlignment="1">
      <alignment vertical="center" wrapText="1"/>
    </xf>
    <xf numFmtId="0" fontId="25" fillId="0" borderId="3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7" fillId="7" borderId="34" xfId="0" applyFont="1" applyFill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33" fillId="11" borderId="2" xfId="1" applyFont="1" applyFill="1" applyBorder="1" applyAlignment="1">
      <alignment horizontal="center" vertical="center" wrapText="1"/>
    </xf>
    <xf numFmtId="2" fontId="33" fillId="12" borderId="2" xfId="1" applyNumberFormat="1" applyFont="1" applyFill="1" applyBorder="1" applyAlignment="1">
      <alignment horizontal="center" vertical="center" wrapText="1"/>
    </xf>
    <xf numFmtId="2" fontId="33" fillId="13" borderId="2" xfId="1" applyNumberFormat="1" applyFont="1" applyFill="1" applyBorder="1" applyAlignment="1">
      <alignment horizontal="center" vertical="center" wrapText="1"/>
    </xf>
    <xf numFmtId="0" fontId="18" fillId="0" borderId="2" xfId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9" fillId="0" borderId="2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1" fontId="16" fillId="5" borderId="2" xfId="1" applyNumberFormat="1" applyFont="1" applyFill="1" applyBorder="1" applyAlignment="1">
      <alignment horizontal="center" vertical="center" wrapText="1"/>
    </xf>
    <xf numFmtId="0" fontId="16" fillId="5" borderId="2" xfId="1" applyFont="1" applyFill="1" applyBorder="1" applyAlignment="1">
      <alignment horizontal="center" vertical="center" wrapText="1"/>
    </xf>
    <xf numFmtId="164" fontId="16" fillId="5" borderId="2" xfId="1" applyNumberFormat="1" applyFont="1" applyFill="1" applyBorder="1" applyAlignment="1">
      <alignment horizontal="center" vertical="center" wrapText="1"/>
    </xf>
    <xf numFmtId="2" fontId="16" fillId="5" borderId="2" xfId="1" applyNumberFormat="1" applyFont="1" applyFill="1" applyBorder="1" applyAlignment="1">
      <alignment horizontal="center" vertical="center" wrapText="1"/>
    </xf>
    <xf numFmtId="165" fontId="16" fillId="5" borderId="2" xfId="1" applyNumberFormat="1" applyFont="1" applyFill="1" applyBorder="1" applyAlignment="1">
      <alignment horizontal="center" vertical="center" wrapText="1"/>
    </xf>
    <xf numFmtId="165" fontId="17" fillId="5" borderId="2" xfId="0" applyNumberFormat="1" applyFont="1" applyFill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/>
    </xf>
    <xf numFmtId="0" fontId="33" fillId="0" borderId="2" xfId="1" applyFont="1" applyBorder="1" applyAlignment="1">
      <alignment horizontal="center" vertical="center" wrapText="1"/>
    </xf>
    <xf numFmtId="1" fontId="33" fillId="0" borderId="2" xfId="1" applyNumberFormat="1" applyFont="1" applyBorder="1" applyAlignment="1">
      <alignment horizontal="center" vertical="center" wrapText="1"/>
    </xf>
    <xf numFmtId="164" fontId="33" fillId="0" borderId="2" xfId="1" applyNumberFormat="1" applyFont="1" applyBorder="1" applyAlignment="1">
      <alignment horizontal="center" vertical="center" wrapText="1"/>
    </xf>
    <xf numFmtId="2" fontId="33" fillId="0" borderId="2" xfId="1" applyNumberFormat="1" applyFont="1" applyBorder="1" applyAlignment="1">
      <alignment horizontal="center" vertical="center" wrapText="1"/>
    </xf>
    <xf numFmtId="165" fontId="33" fillId="0" borderId="2" xfId="1" applyNumberFormat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165" fontId="17" fillId="0" borderId="0" xfId="0" applyNumberFormat="1" applyFont="1" applyAlignment="1">
      <alignment horizontal="center" vertical="center"/>
    </xf>
    <xf numFmtId="0" fontId="0" fillId="14" borderId="0" xfId="0" applyFill="1"/>
    <xf numFmtId="165" fontId="15" fillId="5" borderId="2" xfId="1" applyNumberFormat="1" applyFont="1" applyFill="1" applyBorder="1" applyAlignment="1">
      <alignment horizontal="center" vertical="center" wrapText="1"/>
    </xf>
    <xf numFmtId="165" fontId="35" fillId="5" borderId="2" xfId="1" applyNumberFormat="1" applyFont="1" applyFill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165" fontId="0" fillId="0" borderId="19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15" borderId="19" xfId="0" applyNumberFormat="1" applyFill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7" fillId="16" borderId="60" xfId="0" applyFont="1" applyFill="1" applyBorder="1" applyAlignment="1">
      <alignment horizontal="center" vertical="center" wrapText="1"/>
    </xf>
    <xf numFmtId="0" fontId="37" fillId="16" borderId="30" xfId="0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166" fontId="16" fillId="0" borderId="2" xfId="1" applyNumberFormat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25" fillId="7" borderId="66" xfId="0" applyFont="1" applyFill="1" applyBorder="1" applyAlignment="1">
      <alignment horizontal="center" vertical="center" wrapText="1"/>
    </xf>
    <xf numFmtId="0" fontId="25" fillId="7" borderId="67" xfId="0" applyFont="1" applyFill="1" applyBorder="1" applyAlignment="1">
      <alignment horizontal="center" vertical="center" wrapText="1"/>
    </xf>
    <xf numFmtId="0" fontId="10" fillId="0" borderId="66" xfId="0" applyFont="1" applyBorder="1" applyAlignment="1">
      <alignment vertical="center" wrapText="1"/>
    </xf>
    <xf numFmtId="0" fontId="25" fillId="0" borderId="67" xfId="0" applyFont="1" applyBorder="1" applyAlignment="1">
      <alignment horizontal="center" vertical="center" wrapText="1"/>
    </xf>
    <xf numFmtId="0" fontId="25" fillId="0" borderId="71" xfId="0" applyFont="1" applyBorder="1" applyAlignment="1">
      <alignment horizontal="center" vertical="center" wrapText="1"/>
    </xf>
    <xf numFmtId="0" fontId="19" fillId="0" borderId="2" xfId="1" applyFont="1" applyBorder="1" applyAlignment="1">
      <alignment vertical="center" wrapText="1"/>
    </xf>
    <xf numFmtId="0" fontId="15" fillId="0" borderId="10" xfId="1" applyFont="1" applyBorder="1" applyAlignment="1">
      <alignment vertical="center" wrapText="1"/>
    </xf>
    <xf numFmtId="0" fontId="15" fillId="0" borderId="11" xfId="1" applyFont="1" applyBorder="1" applyAlignment="1">
      <alignment vertical="center" wrapText="1"/>
    </xf>
    <xf numFmtId="0" fontId="15" fillId="0" borderId="12" xfId="1" applyFont="1" applyBorder="1" applyAlignment="1">
      <alignment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0" fillId="5" borderId="0" xfId="0" applyFill="1"/>
    <xf numFmtId="167" fontId="16" fillId="0" borderId="2" xfId="1" applyNumberFormat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9" fontId="0" fillId="0" borderId="0" xfId="0" applyNumberFormat="1"/>
    <xf numFmtId="165" fontId="0" fillId="0" borderId="0" xfId="0" applyNumberFormat="1"/>
    <xf numFmtId="164" fontId="16" fillId="0" borderId="10" xfId="1" applyNumberFormat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164" fontId="16" fillId="0" borderId="11" xfId="1" applyNumberFormat="1" applyFont="1" applyBorder="1" applyAlignment="1">
      <alignment horizontal="center" vertical="center" wrapText="1"/>
    </xf>
    <xf numFmtId="2" fontId="16" fillId="0" borderId="11" xfId="1" applyNumberFormat="1" applyFont="1" applyBorder="1" applyAlignment="1">
      <alignment horizontal="center" vertical="center" wrapText="1"/>
    </xf>
    <xf numFmtId="2" fontId="16" fillId="0" borderId="12" xfId="1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15" fillId="0" borderId="21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5" fillId="0" borderId="18" xfId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16" fillId="2" borderId="24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6" fillId="2" borderId="47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2" fontId="16" fillId="0" borderId="10" xfId="1" applyNumberFormat="1" applyFont="1" applyBorder="1" applyAlignment="1">
      <alignment horizontal="center" vertical="center" wrapText="1"/>
    </xf>
    <xf numFmtId="165" fontId="16" fillId="0" borderId="10" xfId="1" applyNumberFormat="1" applyFont="1" applyBorder="1" applyAlignment="1">
      <alignment horizontal="center" vertical="center" wrapText="1"/>
    </xf>
    <xf numFmtId="0" fontId="15" fillId="0" borderId="76" xfId="1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0" fontId="15" fillId="0" borderId="78" xfId="1" applyFont="1" applyBorder="1" applyAlignment="1">
      <alignment vertical="center" wrapText="1"/>
    </xf>
    <xf numFmtId="0" fontId="15" fillId="0" borderId="18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165" fontId="17" fillId="0" borderId="19" xfId="0" applyNumberFormat="1" applyFont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165" fontId="38" fillId="5" borderId="22" xfId="1" applyNumberFormat="1" applyFont="1" applyFill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6" fillId="0" borderId="21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165" fontId="19" fillId="0" borderId="76" xfId="1" applyNumberFormat="1" applyFont="1" applyBorder="1" applyAlignment="1">
      <alignment vertical="center" wrapText="1"/>
    </xf>
    <xf numFmtId="0" fontId="19" fillId="0" borderId="78" xfId="1" applyFont="1" applyBorder="1" applyAlignment="1">
      <alignment vertical="center" wrapText="1"/>
    </xf>
    <xf numFmtId="165" fontId="16" fillId="0" borderId="19" xfId="1" applyNumberFormat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vertical="center" wrapText="1"/>
    </xf>
    <xf numFmtId="165" fontId="15" fillId="0" borderId="2" xfId="1" applyNumberFormat="1" applyFont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center" vertical="center" wrapText="1"/>
    </xf>
    <xf numFmtId="0" fontId="16" fillId="0" borderId="85" xfId="1" applyFont="1" applyFill="1" applyBorder="1" applyAlignment="1">
      <alignment horizontal="center" vertical="center" wrapText="1"/>
    </xf>
    <xf numFmtId="0" fontId="16" fillId="0" borderId="18" xfId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5" fontId="17" fillId="0" borderId="20" xfId="0" applyNumberFormat="1" applyFont="1" applyBorder="1" applyAlignment="1">
      <alignment horizontal="center" vertical="center"/>
    </xf>
    <xf numFmtId="165" fontId="17" fillId="0" borderId="21" xfId="0" applyNumberFormat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165" fontId="19" fillId="0" borderId="83" xfId="1" applyNumberFormat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165" fontId="17" fillId="0" borderId="55" xfId="0" applyNumberFormat="1" applyFont="1" applyBorder="1" applyAlignment="1">
      <alignment horizontal="center" vertical="center"/>
    </xf>
    <xf numFmtId="165" fontId="17" fillId="0" borderId="77" xfId="0" applyNumberFormat="1" applyFont="1" applyBorder="1" applyAlignment="1">
      <alignment horizontal="center" vertical="center"/>
    </xf>
    <xf numFmtId="0" fontId="16" fillId="0" borderId="55" xfId="1" applyFont="1" applyFill="1" applyBorder="1" applyAlignment="1">
      <alignment horizontal="center" vertical="center" wrapText="1"/>
    </xf>
    <xf numFmtId="0" fontId="16" fillId="0" borderId="50" xfId="1" applyFont="1" applyFill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2" borderId="40" xfId="1" applyFont="1" applyFill="1" applyBorder="1" applyAlignment="1">
      <alignment horizontal="center" vertical="center" wrapText="1"/>
    </xf>
    <xf numFmtId="0" fontId="15" fillId="2" borderId="41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6" fillId="0" borderId="21" xfId="1" applyFont="1" applyBorder="1" applyAlignment="1">
      <alignment vertical="center" wrapText="1"/>
    </xf>
    <xf numFmtId="165" fontId="17" fillId="0" borderId="22" xfId="0" applyNumberFormat="1" applyFont="1" applyBorder="1" applyAlignment="1">
      <alignment horizontal="center" vertical="center"/>
    </xf>
    <xf numFmtId="0" fontId="17" fillId="0" borderId="0" xfId="0" applyFont="1"/>
    <xf numFmtId="166" fontId="16" fillId="0" borderId="12" xfId="1" applyNumberFormat="1" applyFont="1" applyBorder="1" applyAlignment="1">
      <alignment horizontal="center" vertical="center" wrapText="1"/>
    </xf>
    <xf numFmtId="165" fontId="16" fillId="0" borderId="12" xfId="1" applyNumberFormat="1" applyFont="1" applyBorder="1" applyAlignment="1">
      <alignment horizontal="center" vertical="center" wrapText="1"/>
    </xf>
    <xf numFmtId="2" fontId="16" fillId="0" borderId="79" xfId="1" applyNumberFormat="1" applyFont="1" applyBorder="1" applyAlignment="1">
      <alignment horizontal="center" vertical="center" wrapText="1"/>
    </xf>
    <xf numFmtId="166" fontId="16" fillId="0" borderId="19" xfId="1" applyNumberFormat="1" applyFont="1" applyBorder="1" applyAlignment="1">
      <alignment horizontal="center" vertical="center" wrapText="1"/>
    </xf>
    <xf numFmtId="2" fontId="16" fillId="0" borderId="19" xfId="1" applyNumberFormat="1" applyFont="1" applyBorder="1" applyAlignment="1">
      <alignment horizontal="center" vertical="center" wrapText="1"/>
    </xf>
    <xf numFmtId="2" fontId="16" fillId="0" borderId="22" xfId="1" applyNumberFormat="1" applyFont="1" applyBorder="1" applyAlignment="1">
      <alignment horizontal="center" vertical="center" wrapText="1"/>
    </xf>
    <xf numFmtId="166" fontId="0" fillId="0" borderId="0" xfId="0" applyNumberFormat="1"/>
    <xf numFmtId="0" fontId="19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20" borderId="2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 shrinkToFit="1"/>
    </xf>
    <xf numFmtId="0" fontId="41" fillId="0" borderId="0" xfId="0" applyFont="1"/>
    <xf numFmtId="0" fontId="40" fillId="0" borderId="2" xfId="0" applyFont="1" applyBorder="1"/>
    <xf numFmtId="0" fontId="40" fillId="0" borderId="2" xfId="0" applyFont="1" applyBorder="1" applyAlignment="1">
      <alignment horizontal="center"/>
    </xf>
    <xf numFmtId="2" fontId="40" fillId="0" borderId="2" xfId="0" applyNumberFormat="1" applyFont="1" applyBorder="1" applyAlignment="1">
      <alignment horizontal="center"/>
    </xf>
    <xf numFmtId="168" fontId="40" fillId="0" borderId="2" xfId="0" applyNumberFormat="1" applyFont="1" applyBorder="1" applyAlignment="1">
      <alignment horizontal="center"/>
    </xf>
    <xf numFmtId="0" fontId="41" fillId="0" borderId="2" xfId="0" applyFont="1" applyBorder="1"/>
    <xf numFmtId="0" fontId="40" fillId="0" borderId="12" xfId="0" applyFont="1" applyBorder="1"/>
    <xf numFmtId="0" fontId="40" fillId="0" borderId="40" xfId="0" applyFont="1" applyBorder="1" applyAlignment="1">
      <alignment horizontal="center"/>
    </xf>
    <xf numFmtId="0" fontId="40" fillId="0" borderId="0" xfId="0" applyFont="1"/>
    <xf numFmtId="0" fontId="40" fillId="0" borderId="43" xfId="0" applyFont="1" applyBorder="1" applyAlignment="1">
      <alignment horizontal="center"/>
    </xf>
    <xf numFmtId="0" fontId="40" fillId="0" borderId="87" xfId="0" applyFont="1" applyBorder="1" applyAlignment="1">
      <alignment horizontal="center"/>
    </xf>
    <xf numFmtId="168" fontId="42" fillId="0" borderId="13" xfId="0" applyNumberFormat="1" applyFont="1" applyBorder="1"/>
    <xf numFmtId="165" fontId="40" fillId="0" borderId="2" xfId="0" applyNumberFormat="1" applyFont="1" applyBorder="1" applyAlignment="1">
      <alignment horizontal="center"/>
    </xf>
    <xf numFmtId="0" fontId="43" fillId="0" borderId="0" xfId="0" applyFont="1"/>
    <xf numFmtId="0" fontId="19" fillId="0" borderId="2" xfId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0" fontId="16" fillId="2" borderId="18" xfId="1" applyFont="1" applyFill="1" applyBorder="1" applyAlignment="1">
      <alignment horizontal="center" vertical="center" wrapText="1"/>
    </xf>
    <xf numFmtId="0" fontId="20" fillId="0" borderId="80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6" fillId="2" borderId="24" xfId="1" applyFont="1" applyFill="1" applyBorder="1" applyAlignment="1">
      <alignment horizontal="center" vertical="center" wrapText="1"/>
    </xf>
    <xf numFmtId="0" fontId="16" fillId="2" borderId="25" xfId="1" applyFont="1" applyFill="1" applyBorder="1" applyAlignment="1">
      <alignment horizontal="center" vertical="center" wrapText="1"/>
    </xf>
    <xf numFmtId="0" fontId="16" fillId="2" borderId="19" xfId="1" applyFont="1" applyFill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2" borderId="23" xfId="1" applyFont="1" applyFill="1" applyBorder="1" applyAlignment="1">
      <alignment horizontal="center" vertical="center" wrapText="1"/>
    </xf>
    <xf numFmtId="165" fontId="19" fillId="0" borderId="21" xfId="1" applyNumberFormat="1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5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56" xfId="1" applyFont="1" applyBorder="1" applyAlignment="1">
      <alignment horizontal="center" vertical="center" wrapText="1"/>
    </xf>
    <xf numFmtId="0" fontId="16" fillId="0" borderId="58" xfId="1" applyFont="1" applyBorder="1" applyAlignment="1">
      <alignment horizontal="left" vertical="center" wrapText="1"/>
    </xf>
    <xf numFmtId="0" fontId="16" fillId="0" borderId="42" xfId="1" applyFont="1" applyBorder="1" applyAlignment="1">
      <alignment horizontal="left" vertical="center" wrapText="1"/>
    </xf>
    <xf numFmtId="0" fontId="16" fillId="0" borderId="59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left" vertical="center" wrapText="1"/>
    </xf>
    <xf numFmtId="0" fontId="16" fillId="0" borderId="7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6" fillId="0" borderId="55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23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15" fillId="2" borderId="24" xfId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15" fillId="2" borderId="40" xfId="1" applyFont="1" applyFill="1" applyBorder="1" applyAlignment="1">
      <alignment horizontal="center" vertical="center" wrapText="1"/>
    </xf>
    <xf numFmtId="0" fontId="15" fillId="2" borderId="41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6" fillId="2" borderId="40" xfId="1" applyFont="1" applyFill="1" applyBorder="1" applyAlignment="1">
      <alignment horizontal="center" vertical="center" wrapText="1"/>
    </xf>
    <xf numFmtId="0" fontId="16" fillId="2" borderId="41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5" fillId="0" borderId="55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2" fontId="17" fillId="0" borderId="50" xfId="0" applyNumberFormat="1" applyFont="1" applyBorder="1" applyAlignment="1">
      <alignment horizontal="center" vertical="center"/>
    </xf>
    <xf numFmtId="2" fontId="17" fillId="0" borderId="51" xfId="0" applyNumberFormat="1" applyFont="1" applyBorder="1" applyAlignment="1">
      <alignment horizontal="center" vertical="center"/>
    </xf>
    <xf numFmtId="0" fontId="16" fillId="2" borderId="80" xfId="1" applyFont="1" applyFill="1" applyBorder="1" applyAlignment="1">
      <alignment horizontal="center" vertical="center" wrapText="1"/>
    </xf>
    <xf numFmtId="0" fontId="16" fillId="2" borderId="55" xfId="1" applyFont="1" applyFill="1" applyBorder="1" applyAlignment="1">
      <alignment horizontal="center" vertical="center" wrapText="1"/>
    </xf>
    <xf numFmtId="0" fontId="16" fillId="2" borderId="49" xfId="1" applyFont="1" applyFill="1" applyBorder="1" applyAlignment="1">
      <alignment horizontal="center" vertical="center" wrapText="1"/>
    </xf>
    <xf numFmtId="0" fontId="16" fillId="2" borderId="50" xfId="1" applyFont="1" applyFill="1" applyBorder="1" applyAlignment="1">
      <alignment horizontal="center" vertical="center" wrapText="1"/>
    </xf>
    <xf numFmtId="0" fontId="16" fillId="2" borderId="84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0" borderId="76" xfId="1" applyFont="1" applyBorder="1" applyAlignment="1">
      <alignment horizontal="center" vertical="center" wrapText="1"/>
    </xf>
    <xf numFmtId="0" fontId="16" fillId="0" borderId="78" xfId="1" applyFont="1" applyBorder="1" applyAlignment="1">
      <alignment horizontal="center" vertical="center" wrapText="1"/>
    </xf>
    <xf numFmtId="0" fontId="16" fillId="0" borderId="79" xfId="1" applyFont="1" applyBorder="1" applyAlignment="1">
      <alignment horizontal="center" vertical="center" wrapText="1"/>
    </xf>
    <xf numFmtId="0" fontId="16" fillId="0" borderId="83" xfId="1" applyFont="1" applyBorder="1" applyAlignment="1">
      <alignment horizontal="center" vertical="center" wrapText="1"/>
    </xf>
    <xf numFmtId="2" fontId="17" fillId="0" borderId="19" xfId="0" applyNumberFormat="1" applyFont="1" applyBorder="1" applyAlignment="1">
      <alignment horizontal="center" vertical="center"/>
    </xf>
    <xf numFmtId="2" fontId="17" fillId="0" borderId="22" xfId="0" applyNumberFormat="1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5" fillId="2" borderId="43" xfId="1" applyFont="1" applyFill="1" applyBorder="1" applyAlignment="1">
      <alignment horizontal="center" vertical="center" wrapText="1"/>
    </xf>
    <xf numFmtId="0" fontId="15" fillId="2" borderId="42" xfId="1" applyFont="1" applyFill="1" applyBorder="1" applyAlignment="1">
      <alignment horizontal="center" vertical="center" wrapText="1"/>
    </xf>
    <xf numFmtId="0" fontId="15" fillId="2" borderId="44" xfId="1" applyFont="1" applyFill="1" applyBorder="1" applyAlignment="1">
      <alignment horizontal="center" vertical="center" wrapText="1"/>
    </xf>
    <xf numFmtId="0" fontId="15" fillId="2" borderId="45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horizontal="center" vertical="center" wrapText="1"/>
    </xf>
    <xf numFmtId="0" fontId="15" fillId="2" borderId="46" xfId="1" applyFont="1" applyFill="1" applyBorder="1" applyAlignment="1">
      <alignment horizontal="center" vertical="center" wrapText="1"/>
    </xf>
    <xf numFmtId="0" fontId="15" fillId="2" borderId="47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48" xfId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3" xfId="0" applyBorder="1" applyAlignment="1">
      <alignment horizontal="left" vertical="top" wrapText="1"/>
    </xf>
    <xf numFmtId="0" fontId="0" fillId="0" borderId="42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3" fillId="11" borderId="2" xfId="1" applyFont="1" applyFill="1" applyBorder="1" applyAlignment="1">
      <alignment horizontal="center" vertical="center" wrapText="1"/>
    </xf>
    <xf numFmtId="0" fontId="33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5" fillId="5" borderId="2" xfId="1" applyFont="1" applyFill="1" applyBorder="1" applyAlignment="1">
      <alignment horizontal="center" vertical="center" wrapText="1"/>
    </xf>
    <xf numFmtId="0" fontId="15" fillId="5" borderId="2" xfId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10" borderId="2" xfId="0" applyFont="1" applyFill="1" applyBorder="1" applyAlignment="1">
      <alignment horizontal="center" vertical="center"/>
    </xf>
    <xf numFmtId="0" fontId="15" fillId="0" borderId="77" xfId="1" applyFont="1" applyBorder="1" applyAlignment="1">
      <alignment horizontal="center" vertical="center" wrapText="1"/>
    </xf>
    <xf numFmtId="0" fontId="15" fillId="0" borderId="78" xfId="1" applyFont="1" applyBorder="1" applyAlignment="1">
      <alignment horizontal="center" vertical="center" wrapText="1"/>
    </xf>
    <xf numFmtId="0" fontId="15" fillId="0" borderId="79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5" fillId="2" borderId="16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77" xfId="1" applyFont="1" applyBorder="1" applyAlignment="1">
      <alignment horizontal="center" vertical="center" wrapText="1"/>
    </xf>
    <xf numFmtId="0" fontId="16" fillId="2" borderId="86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5" fillId="0" borderId="76" xfId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 wrapText="1"/>
    </xf>
    <xf numFmtId="0" fontId="15" fillId="4" borderId="9" xfId="1" applyFont="1" applyFill="1" applyBorder="1" applyAlignment="1">
      <alignment horizontal="center" vertical="center" wrapText="1"/>
    </xf>
    <xf numFmtId="0" fontId="16" fillId="4" borderId="9" xfId="1" applyFont="1" applyFill="1" applyBorder="1" applyAlignment="1">
      <alignment horizontal="center" vertical="center" wrapText="1"/>
    </xf>
    <xf numFmtId="0" fontId="16" fillId="4" borderId="2" xfId="1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32" fillId="0" borderId="52" xfId="0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 wrapText="1"/>
    </xf>
    <xf numFmtId="2" fontId="0" fillId="0" borderId="55" xfId="0" applyNumberFormat="1" applyBorder="1" applyAlignment="1">
      <alignment horizontal="center" vertical="center" wrapText="1"/>
    </xf>
    <xf numFmtId="2" fontId="0" fillId="0" borderId="56" xfId="0" applyNumberForma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5" fontId="0" fillId="0" borderId="55" xfId="0" applyNumberFormat="1" applyBorder="1" applyAlignment="1">
      <alignment horizontal="center" vertical="center" wrapText="1"/>
    </xf>
    <xf numFmtId="165" fontId="0" fillId="0" borderId="56" xfId="0" applyNumberFormat="1" applyBorder="1" applyAlignment="1">
      <alignment horizontal="center" vertical="center" wrapText="1"/>
    </xf>
    <xf numFmtId="2" fontId="0" fillId="0" borderId="58" xfId="0" applyNumberFormat="1" applyBorder="1" applyAlignment="1">
      <alignment horizontal="center" vertical="center" wrapText="1"/>
    </xf>
    <xf numFmtId="2" fontId="0" fillId="0" borderId="59" xfId="0" applyNumberFormat="1" applyBorder="1" applyAlignment="1">
      <alignment horizontal="center" vertical="center" wrapText="1"/>
    </xf>
    <xf numFmtId="0" fontId="37" fillId="16" borderId="36" xfId="0" applyFont="1" applyFill="1" applyBorder="1" applyAlignment="1">
      <alignment horizontal="center" vertical="center" wrapText="1"/>
    </xf>
    <xf numFmtId="0" fontId="37" fillId="16" borderId="35" xfId="0" applyFont="1" applyFill="1" applyBorder="1" applyAlignment="1">
      <alignment horizontal="center" vertical="center" wrapText="1"/>
    </xf>
    <xf numFmtId="0" fontId="37" fillId="16" borderId="3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4" fillId="7" borderId="37" xfId="0" applyFont="1" applyFill="1" applyBorder="1" applyAlignment="1">
      <alignment horizontal="center" vertical="center" wrapText="1"/>
    </xf>
    <xf numFmtId="0" fontId="24" fillId="7" borderId="38" xfId="0" applyFont="1" applyFill="1" applyBorder="1" applyAlignment="1">
      <alignment horizontal="center" vertical="center" wrapText="1"/>
    </xf>
    <xf numFmtId="0" fontId="24" fillId="7" borderId="39" xfId="0" applyFont="1" applyFill="1" applyBorder="1" applyAlignment="1">
      <alignment horizontal="center" vertical="center" wrapText="1"/>
    </xf>
    <xf numFmtId="0" fontId="24" fillId="7" borderId="32" xfId="0" applyFont="1" applyFill="1" applyBorder="1" applyAlignment="1">
      <alignment horizontal="center" vertical="center" wrapText="1"/>
    </xf>
    <xf numFmtId="0" fontId="24" fillId="7" borderId="33" xfId="0" applyFont="1" applyFill="1" applyBorder="1" applyAlignment="1">
      <alignment horizontal="center" vertical="center" wrapText="1"/>
    </xf>
    <xf numFmtId="0" fontId="24" fillId="7" borderId="34" xfId="0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7" borderId="28" xfId="0" applyFont="1" applyFill="1" applyBorder="1" applyAlignment="1">
      <alignment horizontal="center" vertical="center" wrapText="1"/>
    </xf>
    <xf numFmtId="0" fontId="28" fillId="7" borderId="29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4" fillId="7" borderId="28" xfId="0" applyFont="1" applyFill="1" applyBorder="1" applyAlignment="1">
      <alignment horizontal="center" vertical="center" wrapText="1"/>
    </xf>
    <xf numFmtId="0" fontId="24" fillId="7" borderId="29" xfId="0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3" fillId="7" borderId="28" xfId="0" applyFont="1" applyFill="1" applyBorder="1" applyAlignment="1">
      <alignment horizontal="center" vertical="center" wrapText="1"/>
    </xf>
    <xf numFmtId="0" fontId="23" fillId="7" borderId="29" xfId="0" applyFont="1" applyFill="1" applyBorder="1" applyAlignment="1">
      <alignment horizontal="center" vertical="center" wrapText="1"/>
    </xf>
    <xf numFmtId="0" fontId="23" fillId="7" borderId="30" xfId="0" applyFont="1" applyFill="1" applyBorder="1" applyAlignment="1">
      <alignment horizontal="center" vertical="center" wrapText="1"/>
    </xf>
    <xf numFmtId="2" fontId="25" fillId="0" borderId="36" xfId="0" applyNumberFormat="1" applyFont="1" applyBorder="1" applyAlignment="1">
      <alignment horizontal="center" vertical="center" wrapText="1"/>
    </xf>
    <xf numFmtId="2" fontId="25" fillId="0" borderId="35" xfId="0" applyNumberFormat="1" applyFont="1" applyBorder="1" applyAlignment="1">
      <alignment horizontal="center" vertical="center" wrapText="1"/>
    </xf>
    <xf numFmtId="2" fontId="25" fillId="0" borderId="31" xfId="0" applyNumberFormat="1" applyFont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 wrapText="1"/>
    </xf>
    <xf numFmtId="0" fontId="24" fillId="7" borderId="65" xfId="0" applyFont="1" applyFill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25" fillId="0" borderId="74" xfId="0" applyFont="1" applyBorder="1" applyAlignment="1">
      <alignment horizontal="center" vertical="center" wrapText="1"/>
    </xf>
    <xf numFmtId="0" fontId="25" fillId="0" borderId="70" xfId="0" applyFont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2" fontId="25" fillId="0" borderId="69" xfId="0" applyNumberFormat="1" applyFont="1" applyBorder="1" applyAlignment="1">
      <alignment horizontal="center" vertical="center" wrapText="1"/>
    </xf>
    <xf numFmtId="2" fontId="25" fillId="0" borderId="75" xfId="0" applyNumberFormat="1" applyFont="1" applyBorder="1" applyAlignment="1">
      <alignment horizontal="center" vertical="center" wrapText="1"/>
    </xf>
    <xf numFmtId="2" fontId="25" fillId="0" borderId="73" xfId="0" applyNumberFormat="1" applyFont="1" applyBorder="1" applyAlignment="1">
      <alignment horizontal="center" vertical="center" wrapText="1"/>
    </xf>
    <xf numFmtId="0" fontId="23" fillId="7" borderId="61" xfId="0" applyFont="1" applyFill="1" applyBorder="1" applyAlignment="1">
      <alignment horizontal="center" vertical="center" wrapText="1"/>
    </xf>
    <xf numFmtId="0" fontId="23" fillId="7" borderId="62" xfId="0" applyFont="1" applyFill="1" applyBorder="1" applyAlignment="1">
      <alignment horizontal="center" vertical="center" wrapText="1"/>
    </xf>
    <xf numFmtId="0" fontId="23" fillId="7" borderId="6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12</xdr:col>
      <xdr:colOff>619744</xdr:colOff>
      <xdr:row>4</xdr:row>
      <xdr:rowOff>1669676</xdr:rowOff>
    </xdr:to>
    <xdr:pic>
      <xdr:nvPicPr>
        <xdr:cNvPr id="2" name="top-ЭФФА СПК_бланк">
          <a:extLst>
            <a:ext uri="{FF2B5EF4-FFF2-40B4-BE49-F238E27FC236}">
              <a16:creationId xmlns:a16="http://schemas.microsoft.com/office/drawing/2014/main" id="{F259E2FE-7533-4480-91AA-B47A8E29CAE2}"/>
            </a:ext>
          </a:extLst>
        </xdr:cNvPr>
        <xdr:cNvPicPr/>
      </xdr:nvPicPr>
      <xdr:blipFill>
        <a:blip xmlns:r="http://schemas.openxmlformats.org/officeDocument/2006/relationships" r:embed="rId1"/>
        <a:srcRect l="-5" t="-21" r="-5" b="-21"/>
        <a:stretch>
          <a:fillRect/>
        </a:stretch>
      </xdr:blipFill>
      <xdr:spPr bwMode="auto">
        <a:xfrm>
          <a:off x="612322" y="0"/>
          <a:ext cx="10872107" cy="2431676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108858</xdr:colOff>
      <xdr:row>105</xdr:row>
      <xdr:rowOff>54428</xdr:rowOff>
    </xdr:from>
    <xdr:to>
      <xdr:col>11</xdr:col>
      <xdr:colOff>238743</xdr:colOff>
      <xdr:row>116</xdr:row>
      <xdr:rowOff>44239</xdr:rowOff>
    </xdr:to>
    <xdr:pic>
      <xdr:nvPicPr>
        <xdr:cNvPr id="4" name="top-ЭФФА СПК_бланк">
          <a:extLst>
            <a:ext uri="{FF2B5EF4-FFF2-40B4-BE49-F238E27FC236}">
              <a16:creationId xmlns:a16="http://schemas.microsoft.com/office/drawing/2014/main" id="{920D2CA7-0A41-486B-9EA6-A5749F7AB150}"/>
            </a:ext>
          </a:extLst>
        </xdr:cNvPr>
        <xdr:cNvPicPr/>
      </xdr:nvPicPr>
      <xdr:blipFill>
        <a:blip xmlns:r="http://schemas.openxmlformats.org/officeDocument/2006/relationships" r:embed="rId1"/>
        <a:srcRect l="-5" t="-21" r="-5" b="-21"/>
        <a:stretch>
          <a:fillRect/>
        </a:stretch>
      </xdr:blipFill>
      <xdr:spPr bwMode="auto">
        <a:xfrm>
          <a:off x="721179" y="25350107"/>
          <a:ext cx="9878785" cy="2431676"/>
        </a:xfrm>
        <a:prstGeom prst="rect">
          <a:avLst/>
        </a:prstGeom>
      </xdr:spPr>
    </xdr:pic>
    <xdr:clientData/>
  </xdr:twoCellAnchor>
  <xdr:twoCellAnchor editAs="oneCell">
    <xdr:from>
      <xdr:col>11</xdr:col>
      <xdr:colOff>487384</xdr:colOff>
      <xdr:row>28</xdr:row>
      <xdr:rowOff>264721</xdr:rowOff>
    </xdr:from>
    <xdr:to>
      <xdr:col>13</xdr:col>
      <xdr:colOff>645162</xdr:colOff>
      <xdr:row>30</xdr:row>
      <xdr:rowOff>608487</xdr:rowOff>
    </xdr:to>
    <xdr:pic>
      <xdr:nvPicPr>
        <xdr:cNvPr id="5" name="Shape 4">
          <a:extLst>
            <a:ext uri="{FF2B5EF4-FFF2-40B4-BE49-F238E27FC236}">
              <a16:creationId xmlns:a16="http://schemas.microsoft.com/office/drawing/2014/main" id="{3E782DF1-EF03-FAE9-0231-B1A2E8947B70}"/>
            </a:ext>
          </a:extLst>
        </xdr:cNvPr>
        <xdr:cNvPicPr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10447813" y="12347864"/>
          <a:ext cx="1592712" cy="15820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27215</xdr:colOff>
      <xdr:row>4</xdr:row>
      <xdr:rowOff>1669676</xdr:rowOff>
    </xdr:to>
    <xdr:pic>
      <xdr:nvPicPr>
        <xdr:cNvPr id="2" name="top-ЭФФА СПК_бланк">
          <a:extLst>
            <a:ext uri="{FF2B5EF4-FFF2-40B4-BE49-F238E27FC236}">
              <a16:creationId xmlns:a16="http://schemas.microsoft.com/office/drawing/2014/main" id="{7624D876-76D8-4543-BBEC-33050446E021}"/>
            </a:ext>
          </a:extLst>
        </xdr:cNvPr>
        <xdr:cNvPicPr/>
      </xdr:nvPicPr>
      <xdr:blipFill>
        <a:blip xmlns:r="http://schemas.openxmlformats.org/officeDocument/2006/relationships" r:embed="rId1"/>
        <a:srcRect l="-5" t="-21" r="-5" b="-21"/>
        <a:stretch>
          <a:fillRect/>
        </a:stretch>
      </xdr:blipFill>
      <xdr:spPr bwMode="auto">
        <a:xfrm>
          <a:off x="0" y="0"/>
          <a:ext cx="12831536" cy="24316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527463</xdr:colOff>
      <xdr:row>2</xdr:row>
      <xdr:rowOff>0</xdr:rowOff>
    </xdr:to>
    <xdr:pic>
      <xdr:nvPicPr>
        <xdr:cNvPr id="3" name="image2.jpeg" descr="C:\Users\ST5\Desktop\Пунтал_Бланк А4 (новый цвет синий)_x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12151179" cy="1469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929209</xdr:colOff>
      <xdr:row>1</xdr:row>
      <xdr:rowOff>1304925</xdr:rowOff>
    </xdr:to>
    <xdr:pic>
      <xdr:nvPicPr>
        <xdr:cNvPr id="2" name="image2.jpeg" descr="C:\Users\ST5\Desktop\Пунтал_Бланк А4 (новый цвет синий)_x.jpg">
          <a:extLst>
            <a:ext uri="{FF2B5EF4-FFF2-40B4-BE49-F238E27FC236}">
              <a16:creationId xmlns:a16="http://schemas.microsoft.com/office/drawing/2014/main" id="{042697CC-E25B-416C-8B93-6589C79574E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9725025" cy="1495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4</xdr:row>
      <xdr:rowOff>9525</xdr:rowOff>
    </xdr:from>
    <xdr:to>
      <xdr:col>9</xdr:col>
      <xdr:colOff>492498</xdr:colOff>
      <xdr:row>5</xdr:row>
      <xdr:rowOff>51793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85894F7-DC39-3F29-D712-C56B717CF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771525"/>
          <a:ext cx="5667374" cy="2327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12</xdr:col>
      <xdr:colOff>136067</xdr:colOff>
      <xdr:row>49</xdr:row>
      <xdr:rowOff>182037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976849A-0075-415D-AF60-6ECF1D00B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0"/>
          <a:ext cx="7421011" cy="76115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33617</xdr:colOff>
      <xdr:row>4</xdr:row>
      <xdr:rowOff>1669676</xdr:rowOff>
    </xdr:to>
    <xdr:pic>
      <xdr:nvPicPr>
        <xdr:cNvPr id="2" name="top-ЭФФА СПК_бланк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-5" t="-21" r="-5" b="-21"/>
        <a:stretch>
          <a:fillRect/>
        </a:stretch>
      </xdr:blipFill>
      <xdr:spPr bwMode="auto">
        <a:xfrm>
          <a:off x="0" y="0"/>
          <a:ext cx="12741088" cy="2431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3825-6988-4E4D-A7B2-1138BB819E52}">
  <sheetPr>
    <pageSetUpPr fitToPage="1"/>
  </sheetPr>
  <dimension ref="A1:P41"/>
  <sheetViews>
    <sheetView topLeftCell="A22" zoomScale="55" zoomScaleNormal="55" workbookViewId="0">
      <selection activeCell="A2" sqref="A2:O8"/>
    </sheetView>
  </sheetViews>
  <sheetFormatPr defaultRowHeight="15.75" x14ac:dyDescent="0.25"/>
  <cols>
    <col min="1" max="1" width="21.7109375" style="219" customWidth="1"/>
    <col min="2" max="2" width="21" style="219" customWidth="1"/>
    <col min="3" max="3" width="19.7109375" style="219" customWidth="1"/>
    <col min="4" max="4" width="14.28515625" style="219" customWidth="1"/>
    <col min="5" max="5" width="13.42578125" style="219" customWidth="1"/>
    <col min="6" max="6" width="11.7109375" style="219" customWidth="1"/>
    <col min="7" max="7" width="15.85546875" style="219" customWidth="1"/>
    <col min="8" max="8" width="19.5703125" style="219" customWidth="1"/>
    <col min="9" max="9" width="9.140625" style="219" hidden="1" customWidth="1"/>
    <col min="10" max="10" width="14.85546875" style="219" customWidth="1"/>
    <col min="11" max="11" width="9.140625" style="219" hidden="1" customWidth="1"/>
    <col min="12" max="12" width="14.5703125" style="219" hidden="1" customWidth="1"/>
    <col min="13" max="13" width="13" style="219" hidden="1" customWidth="1"/>
    <col min="14" max="14" width="16.7109375" style="219" hidden="1" customWidth="1"/>
    <col min="15" max="15" width="22.28515625" style="219" customWidth="1"/>
    <col min="16" max="16" width="20" style="219" hidden="1" customWidth="1"/>
    <col min="17" max="16384" width="9.140625" style="219"/>
  </cols>
  <sheetData>
    <row r="1" spans="1:16" hidden="1" x14ac:dyDescent="0.25">
      <c r="A1" s="280" t="s">
        <v>384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2"/>
    </row>
    <row r="2" spans="1:16" ht="15.75" customHeight="1" x14ac:dyDescent="0.25">
      <c r="A2" s="279" t="s">
        <v>220</v>
      </c>
      <c r="B2" s="278" t="s">
        <v>1</v>
      </c>
      <c r="C2" s="278" t="s">
        <v>2</v>
      </c>
      <c r="D2" s="278" t="s">
        <v>3</v>
      </c>
      <c r="E2" s="278" t="s">
        <v>4</v>
      </c>
      <c r="F2" s="278" t="s">
        <v>5</v>
      </c>
      <c r="G2" s="278" t="s">
        <v>6</v>
      </c>
      <c r="H2" s="278"/>
      <c r="I2" s="278"/>
      <c r="J2" s="278"/>
      <c r="K2" s="278"/>
      <c r="L2" s="278" t="s">
        <v>8</v>
      </c>
      <c r="M2" s="278" t="s">
        <v>9</v>
      </c>
      <c r="N2" s="278" t="s">
        <v>10</v>
      </c>
      <c r="O2" s="278" t="s">
        <v>10</v>
      </c>
      <c r="P2" s="277" t="s">
        <v>12</v>
      </c>
    </row>
    <row r="3" spans="1:16" ht="15" customHeight="1" x14ac:dyDescent="0.25">
      <c r="A3" s="279"/>
      <c r="B3" s="278"/>
      <c r="C3" s="278"/>
      <c r="D3" s="278"/>
      <c r="E3" s="278"/>
      <c r="F3" s="278"/>
      <c r="G3" s="278" t="s">
        <v>13</v>
      </c>
      <c r="H3" s="278" t="s">
        <v>14</v>
      </c>
      <c r="I3" s="278" t="s">
        <v>15</v>
      </c>
      <c r="J3" s="278" t="s">
        <v>16</v>
      </c>
      <c r="K3" s="278" t="s">
        <v>17</v>
      </c>
      <c r="L3" s="278"/>
      <c r="M3" s="278"/>
      <c r="N3" s="278"/>
      <c r="O3" s="278"/>
      <c r="P3" s="277"/>
    </row>
    <row r="4" spans="1:16" ht="15" customHeight="1" x14ac:dyDescent="0.25">
      <c r="A4" s="279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7"/>
    </row>
    <row r="5" spans="1:16" ht="57" customHeight="1" x14ac:dyDescent="0.25">
      <c r="A5" s="253" t="s">
        <v>18</v>
      </c>
      <c r="B5" s="252" t="s">
        <v>19</v>
      </c>
      <c r="C5" s="252"/>
      <c r="D5" s="252" t="s">
        <v>20</v>
      </c>
      <c r="E5" s="252" t="s">
        <v>21</v>
      </c>
      <c r="F5" s="252" t="s">
        <v>22</v>
      </c>
      <c r="G5" s="252" t="s">
        <v>23</v>
      </c>
      <c r="H5" s="252" t="s">
        <v>23</v>
      </c>
      <c r="I5" s="252" t="s">
        <v>24</v>
      </c>
      <c r="J5" s="252" t="s">
        <v>22</v>
      </c>
      <c r="K5" s="252" t="s">
        <v>24</v>
      </c>
      <c r="L5" s="252" t="s">
        <v>25</v>
      </c>
      <c r="M5" s="252" t="s">
        <v>25</v>
      </c>
      <c r="N5" s="252" t="s">
        <v>26</v>
      </c>
      <c r="O5" s="252" t="s">
        <v>27</v>
      </c>
      <c r="P5" s="189" t="s">
        <v>28</v>
      </c>
    </row>
    <row r="6" spans="1:16" ht="57.75" customHeight="1" x14ac:dyDescent="0.25">
      <c r="A6" s="253">
        <v>1</v>
      </c>
      <c r="B6" s="12" t="s">
        <v>176</v>
      </c>
      <c r="C6" s="12" t="s">
        <v>29</v>
      </c>
      <c r="D6" s="252" t="s">
        <v>30</v>
      </c>
      <c r="E6" s="252">
        <v>1.5</v>
      </c>
      <c r="F6" s="252">
        <v>85</v>
      </c>
      <c r="G6" s="16">
        <f>H6*(100)/F6</f>
        <v>117.64705882352941</v>
      </c>
      <c r="H6" s="252">
        <v>100</v>
      </c>
      <c r="I6" s="17">
        <f>1/(H6/(10*F6))</f>
        <v>8.5</v>
      </c>
      <c r="J6" s="252">
        <v>0</v>
      </c>
      <c r="K6" s="17">
        <f>I6-(I6/100*J6)</f>
        <v>8.5</v>
      </c>
      <c r="L6" s="8">
        <v>585</v>
      </c>
      <c r="M6" s="8">
        <f>E6*L6</f>
        <v>877.5</v>
      </c>
      <c r="N6" s="9">
        <f>A6/K6</f>
        <v>0.11764705882352941</v>
      </c>
      <c r="O6" s="9">
        <f>E6*N6</f>
        <v>0.1764705882352941</v>
      </c>
      <c r="P6" s="190">
        <f>O6*L6</f>
        <v>103.23529411764704</v>
      </c>
    </row>
    <row r="7" spans="1:16" ht="57.75" customHeight="1" x14ac:dyDescent="0.25">
      <c r="A7" s="283" t="s">
        <v>443</v>
      </c>
      <c r="B7" s="284"/>
      <c r="C7" s="284"/>
      <c r="D7" s="285"/>
      <c r="E7" s="256"/>
      <c r="F7" s="283">
        <v>5</v>
      </c>
      <c r="G7" s="284"/>
      <c r="H7" s="284"/>
      <c r="I7" s="285"/>
      <c r="J7" s="256"/>
      <c r="K7" s="256"/>
      <c r="L7" s="4">
        <v>0</v>
      </c>
      <c r="M7" s="12">
        <v>0</v>
      </c>
      <c r="N7" s="13">
        <f>N6*(F7/100)</f>
        <v>5.8823529411764705E-3</v>
      </c>
      <c r="O7" s="9">
        <f>O6*0.05</f>
        <v>8.8235294117647058E-3</v>
      </c>
      <c r="P7" s="10">
        <f>N7*L7</f>
        <v>0</v>
      </c>
    </row>
    <row r="8" spans="1:16" ht="57" customHeight="1" x14ac:dyDescent="0.25">
      <c r="A8" s="202"/>
      <c r="B8" s="274" t="s">
        <v>35</v>
      </c>
      <c r="C8" s="274"/>
      <c r="D8" s="274"/>
      <c r="E8" s="274"/>
      <c r="F8" s="274"/>
      <c r="G8" s="274"/>
      <c r="H8" s="251">
        <f>SUM(H6:H6)</f>
        <v>100</v>
      </c>
      <c r="I8" s="274"/>
      <c r="J8" s="274"/>
      <c r="K8" s="274"/>
      <c r="L8" s="274"/>
      <c r="M8" s="274"/>
      <c r="N8" s="274"/>
      <c r="O8" s="274"/>
      <c r="P8" s="191">
        <f>SUM(P6:P6)</f>
        <v>103.23529411764704</v>
      </c>
    </row>
    <row r="11" spans="1:16" x14ac:dyDescent="0.25">
      <c r="A11" s="279" t="s">
        <v>220</v>
      </c>
      <c r="B11" s="278" t="s">
        <v>1</v>
      </c>
      <c r="C11" s="278" t="s">
        <v>2</v>
      </c>
      <c r="D11" s="278" t="s">
        <v>3</v>
      </c>
      <c r="E11" s="278" t="s">
        <v>4</v>
      </c>
      <c r="F11" s="278" t="s">
        <v>5</v>
      </c>
      <c r="G11" s="278" t="s">
        <v>6</v>
      </c>
      <c r="H11" s="278"/>
      <c r="I11" s="278"/>
      <c r="J11" s="278"/>
      <c r="K11" s="278"/>
      <c r="L11" s="278" t="s">
        <v>8</v>
      </c>
      <c r="M11" s="278" t="s">
        <v>9</v>
      </c>
      <c r="N11" s="278" t="s">
        <v>10</v>
      </c>
      <c r="O11" s="278" t="s">
        <v>222</v>
      </c>
      <c r="P11" s="277" t="s">
        <v>12</v>
      </c>
    </row>
    <row r="12" spans="1:16" x14ac:dyDescent="0.25">
      <c r="A12" s="279"/>
      <c r="B12" s="278"/>
      <c r="C12" s="278"/>
      <c r="D12" s="278"/>
      <c r="E12" s="278"/>
      <c r="F12" s="278"/>
      <c r="G12" s="278" t="s">
        <v>13</v>
      </c>
      <c r="H12" s="278" t="s">
        <v>14</v>
      </c>
      <c r="I12" s="278" t="s">
        <v>15</v>
      </c>
      <c r="J12" s="278" t="s">
        <v>16</v>
      </c>
      <c r="K12" s="278" t="s">
        <v>17</v>
      </c>
      <c r="L12" s="278"/>
      <c r="M12" s="278"/>
      <c r="N12" s="278"/>
      <c r="O12" s="278"/>
      <c r="P12" s="277"/>
    </row>
    <row r="13" spans="1:16" x14ac:dyDescent="0.25">
      <c r="A13" s="279"/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7"/>
    </row>
    <row r="14" spans="1:16" x14ac:dyDescent="0.25">
      <c r="A14" s="253" t="s">
        <v>18</v>
      </c>
      <c r="B14" s="252" t="s">
        <v>19</v>
      </c>
      <c r="C14" s="252"/>
      <c r="D14" s="252" t="s">
        <v>20</v>
      </c>
      <c r="E14" s="252" t="s">
        <v>21</v>
      </c>
      <c r="F14" s="252" t="s">
        <v>22</v>
      </c>
      <c r="G14" s="252" t="s">
        <v>23</v>
      </c>
      <c r="H14" s="252" t="s">
        <v>23</v>
      </c>
      <c r="I14" s="252" t="s">
        <v>24</v>
      </c>
      <c r="J14" s="252" t="s">
        <v>22</v>
      </c>
      <c r="K14" s="252" t="s">
        <v>24</v>
      </c>
      <c r="L14" s="252" t="s">
        <v>25</v>
      </c>
      <c r="M14" s="252" t="s">
        <v>25</v>
      </c>
      <c r="N14" s="252" t="s">
        <v>26</v>
      </c>
      <c r="O14" s="252" t="s">
        <v>27</v>
      </c>
      <c r="P14" s="189" t="s">
        <v>28</v>
      </c>
    </row>
    <row r="15" spans="1:16" ht="48.75" customHeight="1" x14ac:dyDescent="0.25">
      <c r="A15" s="253">
        <v>1</v>
      </c>
      <c r="B15" s="12" t="s">
        <v>42</v>
      </c>
      <c r="C15" s="12" t="s">
        <v>29</v>
      </c>
      <c r="D15" s="252" t="s">
        <v>30</v>
      </c>
      <c r="E15" s="252">
        <v>1.4</v>
      </c>
      <c r="F15" s="252">
        <v>73</v>
      </c>
      <c r="G15" s="16">
        <f>H15*(100)/F15</f>
        <v>150.68493150684932</v>
      </c>
      <c r="H15" s="252">
        <v>110</v>
      </c>
      <c r="I15" s="17">
        <f>1/(H15/(10*F15))</f>
        <v>6.6363636363636367</v>
      </c>
      <c r="J15" s="252">
        <v>0</v>
      </c>
      <c r="K15" s="17">
        <f>I15-(I15/100*J15)</f>
        <v>6.6363636363636367</v>
      </c>
      <c r="L15" s="8">
        <v>585</v>
      </c>
      <c r="M15" s="8">
        <f>E15*L15</f>
        <v>819</v>
      </c>
      <c r="N15" s="9">
        <f>A15/K15</f>
        <v>0.15068493150684931</v>
      </c>
      <c r="O15" s="9">
        <f>E15*N15</f>
        <v>0.21095890410958901</v>
      </c>
      <c r="P15" s="190">
        <f>O15*L15</f>
        <v>123.41095890410956</v>
      </c>
    </row>
    <row r="16" spans="1:16" ht="33.75" customHeight="1" x14ac:dyDescent="0.25">
      <c r="A16" s="253">
        <v>1</v>
      </c>
      <c r="B16" s="12" t="s">
        <v>43</v>
      </c>
      <c r="C16" s="12" t="s">
        <v>32</v>
      </c>
      <c r="D16" s="19">
        <v>7040</v>
      </c>
      <c r="E16" s="252">
        <v>1.3</v>
      </c>
      <c r="F16" s="252">
        <v>58</v>
      </c>
      <c r="G16" s="16">
        <f>H16*110/F16</f>
        <v>94.827586206896555</v>
      </c>
      <c r="H16" s="252">
        <v>50</v>
      </c>
      <c r="I16" s="17">
        <f>1/(H16/(10*F16))</f>
        <v>11.6</v>
      </c>
      <c r="J16" s="252">
        <v>0</v>
      </c>
      <c r="K16" s="17">
        <f>I16-(I16/100*J16)</f>
        <v>11.6</v>
      </c>
      <c r="L16" s="8">
        <v>758</v>
      </c>
      <c r="M16" s="8">
        <f>E16*L16</f>
        <v>985.4</v>
      </c>
      <c r="N16" s="9">
        <f>A16/K16</f>
        <v>8.6206896551724144E-2</v>
      </c>
      <c r="O16" s="9">
        <f>E16*N16</f>
        <v>0.1120689655172414</v>
      </c>
      <c r="P16" s="190">
        <f>O16*L16</f>
        <v>84.948275862068982</v>
      </c>
    </row>
    <row r="17" spans="1:16" ht="28.5" customHeight="1" x14ac:dyDescent="0.25">
      <c r="A17" s="202"/>
      <c r="B17" s="274" t="s">
        <v>35</v>
      </c>
      <c r="C17" s="274"/>
      <c r="D17" s="274"/>
      <c r="E17" s="274"/>
      <c r="F17" s="274"/>
      <c r="G17" s="274"/>
      <c r="H17" s="251">
        <f>SUM(H15:H16)</f>
        <v>160</v>
      </c>
      <c r="I17" s="274" t="s">
        <v>223</v>
      </c>
      <c r="J17" s="274"/>
      <c r="K17" s="274"/>
      <c r="L17" s="274"/>
      <c r="M17" s="274"/>
      <c r="N17" s="274"/>
      <c r="O17" s="274"/>
      <c r="P17" s="191">
        <f>SUM(P15:P16)</f>
        <v>208.35923476617853</v>
      </c>
    </row>
    <row r="22" spans="1:16" ht="31.5" customHeight="1" x14ac:dyDescent="0.25">
      <c r="A22" s="275" t="s">
        <v>427</v>
      </c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</row>
    <row r="23" spans="1:16" x14ac:dyDescent="0.25">
      <c r="A23" s="279" t="s">
        <v>220</v>
      </c>
      <c r="B23" s="278" t="s">
        <v>1</v>
      </c>
      <c r="C23" s="278" t="s">
        <v>2</v>
      </c>
      <c r="D23" s="278" t="s">
        <v>3</v>
      </c>
      <c r="E23" s="278" t="s">
        <v>4</v>
      </c>
      <c r="F23" s="278" t="s">
        <v>5</v>
      </c>
      <c r="G23" s="278" t="s">
        <v>6</v>
      </c>
      <c r="H23" s="278"/>
      <c r="I23" s="278"/>
      <c r="J23" s="278"/>
      <c r="K23" s="278"/>
      <c r="L23" s="278" t="s">
        <v>8</v>
      </c>
      <c r="M23" s="278" t="s">
        <v>9</v>
      </c>
      <c r="N23" s="278" t="s">
        <v>10</v>
      </c>
      <c r="O23" s="278" t="s">
        <v>10</v>
      </c>
      <c r="P23" s="277" t="s">
        <v>12</v>
      </c>
    </row>
    <row r="24" spans="1:16" x14ac:dyDescent="0.25">
      <c r="A24" s="279"/>
      <c r="B24" s="278"/>
      <c r="C24" s="278"/>
      <c r="D24" s="278"/>
      <c r="E24" s="278"/>
      <c r="F24" s="278"/>
      <c r="G24" s="278" t="s">
        <v>13</v>
      </c>
      <c r="H24" s="278" t="s">
        <v>14</v>
      </c>
      <c r="I24" s="278" t="s">
        <v>15</v>
      </c>
      <c r="J24" s="278" t="s">
        <v>16</v>
      </c>
      <c r="K24" s="278" t="s">
        <v>17</v>
      </c>
      <c r="L24" s="278"/>
      <c r="M24" s="278"/>
      <c r="N24" s="278"/>
      <c r="O24" s="278"/>
      <c r="P24" s="277"/>
    </row>
    <row r="25" spans="1:16" x14ac:dyDescent="0.25">
      <c r="A25" s="279"/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7"/>
    </row>
    <row r="26" spans="1:16" x14ac:dyDescent="0.25">
      <c r="A26" s="253" t="s">
        <v>18</v>
      </c>
      <c r="B26" s="252" t="s">
        <v>19</v>
      </c>
      <c r="C26" s="252"/>
      <c r="D26" s="252" t="s">
        <v>20</v>
      </c>
      <c r="E26" s="252" t="s">
        <v>21</v>
      </c>
      <c r="F26" s="252" t="s">
        <v>22</v>
      </c>
      <c r="G26" s="252" t="s">
        <v>23</v>
      </c>
      <c r="H26" s="252" t="s">
        <v>23</v>
      </c>
      <c r="I26" s="252" t="s">
        <v>24</v>
      </c>
      <c r="J26" s="252" t="s">
        <v>22</v>
      </c>
      <c r="K26" s="252" t="s">
        <v>24</v>
      </c>
      <c r="L26" s="252" t="s">
        <v>25</v>
      </c>
      <c r="M26" s="252" t="s">
        <v>25</v>
      </c>
      <c r="N26" s="252" t="s">
        <v>26</v>
      </c>
      <c r="O26" s="252" t="s">
        <v>27</v>
      </c>
      <c r="P26" s="189" t="s">
        <v>28</v>
      </c>
    </row>
    <row r="27" spans="1:16" ht="36.75" customHeight="1" x14ac:dyDescent="0.25">
      <c r="A27" s="253">
        <v>1</v>
      </c>
      <c r="B27" s="12" t="s">
        <v>176</v>
      </c>
      <c r="C27" s="12" t="s">
        <v>29</v>
      </c>
      <c r="D27" s="252" t="s">
        <v>30</v>
      </c>
      <c r="E27" s="252">
        <v>1.5</v>
      </c>
      <c r="F27" s="252">
        <v>85</v>
      </c>
      <c r="G27" s="16">
        <f>H27*(100)/F27</f>
        <v>164.70588235294119</v>
      </c>
      <c r="H27" s="252">
        <v>140</v>
      </c>
      <c r="I27" s="17">
        <f>1/(H27/(10*F27))</f>
        <v>6.0714285714285712</v>
      </c>
      <c r="J27" s="252">
        <v>0</v>
      </c>
      <c r="K27" s="17">
        <f>I27-(I27/100*J27)</f>
        <v>6.0714285714285712</v>
      </c>
      <c r="L27" s="8">
        <v>572</v>
      </c>
      <c r="M27" s="8">
        <f>E27*L27</f>
        <v>858</v>
      </c>
      <c r="N27" s="9">
        <f>A27/K27</f>
        <v>0.16470588235294117</v>
      </c>
      <c r="O27" s="9">
        <f>E27*N27</f>
        <v>0.24705882352941178</v>
      </c>
      <c r="P27" s="190">
        <f>O27*L27</f>
        <v>141.31764705882352</v>
      </c>
    </row>
    <row r="28" spans="1:16" ht="34.5" customHeight="1" x14ac:dyDescent="0.25">
      <c r="A28" s="253">
        <v>1</v>
      </c>
      <c r="B28" s="12" t="s">
        <v>43</v>
      </c>
      <c r="C28" s="12" t="s">
        <v>32</v>
      </c>
      <c r="D28" s="19">
        <v>7040</v>
      </c>
      <c r="E28" s="252">
        <v>1.3</v>
      </c>
      <c r="F28" s="252">
        <v>58</v>
      </c>
      <c r="G28" s="16">
        <f>H28*100/F28</f>
        <v>103.44827586206897</v>
      </c>
      <c r="H28" s="252">
        <v>60</v>
      </c>
      <c r="I28" s="17">
        <f>1/(H28/(10*F28))</f>
        <v>9.6666666666666661</v>
      </c>
      <c r="J28" s="252">
        <v>0</v>
      </c>
      <c r="K28" s="17">
        <f>I28-(I28/100*J28)</f>
        <v>9.6666666666666661</v>
      </c>
      <c r="L28" s="8">
        <v>740.5</v>
      </c>
      <c r="M28" s="8">
        <f>E28*L28</f>
        <v>962.65</v>
      </c>
      <c r="N28" s="9">
        <f>A28/K28</f>
        <v>0.10344827586206898</v>
      </c>
      <c r="O28" s="9">
        <f>E28*N28</f>
        <v>0.13448275862068967</v>
      </c>
      <c r="P28" s="190">
        <f>O28*L28</f>
        <v>99.584482758620709</v>
      </c>
    </row>
    <row r="29" spans="1:16" ht="26.25" customHeight="1" x14ac:dyDescent="0.25">
      <c r="A29" s="202"/>
      <c r="B29" s="274" t="s">
        <v>35</v>
      </c>
      <c r="C29" s="274"/>
      <c r="D29" s="274"/>
      <c r="E29" s="274"/>
      <c r="F29" s="274"/>
      <c r="G29" s="274"/>
      <c r="H29" s="251">
        <f>SUM(H27:H28)</f>
        <v>200</v>
      </c>
      <c r="I29" s="274" t="s">
        <v>223</v>
      </c>
      <c r="J29" s="274"/>
      <c r="K29" s="274"/>
      <c r="L29" s="274"/>
      <c r="M29" s="274"/>
      <c r="N29" s="274"/>
      <c r="O29" s="274"/>
      <c r="P29" s="191">
        <f>SUM(P27:P28)</f>
        <v>240.90212981744423</v>
      </c>
    </row>
    <row r="33" spans="1:16" ht="33.75" customHeight="1" x14ac:dyDescent="0.25">
      <c r="A33" s="276"/>
      <c r="B33" s="276"/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</row>
    <row r="34" spans="1:16" x14ac:dyDescent="0.25">
      <c r="A34" s="279" t="s">
        <v>220</v>
      </c>
      <c r="B34" s="278" t="s">
        <v>1</v>
      </c>
      <c r="C34" s="278" t="s">
        <v>2</v>
      </c>
      <c r="D34" s="278" t="s">
        <v>3</v>
      </c>
      <c r="E34" s="278" t="s">
        <v>4</v>
      </c>
      <c r="F34" s="278" t="s">
        <v>5</v>
      </c>
      <c r="G34" s="278" t="s">
        <v>6</v>
      </c>
      <c r="H34" s="278"/>
      <c r="I34" s="278"/>
      <c r="J34" s="278"/>
      <c r="K34" s="278"/>
      <c r="L34" s="278" t="s">
        <v>8</v>
      </c>
      <c r="M34" s="278" t="s">
        <v>9</v>
      </c>
      <c r="N34" s="278" t="s">
        <v>10</v>
      </c>
      <c r="O34" s="278" t="s">
        <v>10</v>
      </c>
      <c r="P34" s="277" t="s">
        <v>12</v>
      </c>
    </row>
    <row r="35" spans="1:16" x14ac:dyDescent="0.25">
      <c r="A35" s="279"/>
      <c r="B35" s="278"/>
      <c r="C35" s="278"/>
      <c r="D35" s="278"/>
      <c r="E35" s="278"/>
      <c r="F35" s="278"/>
      <c r="G35" s="278" t="s">
        <v>13</v>
      </c>
      <c r="H35" s="278" t="s">
        <v>14</v>
      </c>
      <c r="I35" s="278" t="s">
        <v>15</v>
      </c>
      <c r="J35" s="278" t="s">
        <v>16</v>
      </c>
      <c r="K35" s="278" t="s">
        <v>17</v>
      </c>
      <c r="L35" s="278"/>
      <c r="M35" s="278"/>
      <c r="N35" s="278"/>
      <c r="O35" s="278"/>
      <c r="P35" s="277"/>
    </row>
    <row r="36" spans="1:16" x14ac:dyDescent="0.25">
      <c r="A36" s="279"/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7"/>
    </row>
    <row r="37" spans="1:16" x14ac:dyDescent="0.25">
      <c r="A37" s="253" t="s">
        <v>18</v>
      </c>
      <c r="B37" s="252" t="s">
        <v>19</v>
      </c>
      <c r="C37" s="252"/>
      <c r="D37" s="252" t="s">
        <v>20</v>
      </c>
      <c r="E37" s="252" t="s">
        <v>21</v>
      </c>
      <c r="F37" s="252" t="s">
        <v>22</v>
      </c>
      <c r="G37" s="252" t="s">
        <v>23</v>
      </c>
      <c r="H37" s="252" t="s">
        <v>23</v>
      </c>
      <c r="I37" s="252" t="s">
        <v>24</v>
      </c>
      <c r="J37" s="252" t="s">
        <v>22</v>
      </c>
      <c r="K37" s="252" t="s">
        <v>24</v>
      </c>
      <c r="L37" s="252" t="s">
        <v>25</v>
      </c>
      <c r="M37" s="252" t="s">
        <v>25</v>
      </c>
      <c r="N37" s="252" t="s">
        <v>26</v>
      </c>
      <c r="O37" s="252" t="s">
        <v>27</v>
      </c>
      <c r="P37" s="189" t="s">
        <v>28</v>
      </c>
    </row>
    <row r="38" spans="1:16" ht="63" x14ac:dyDescent="0.25">
      <c r="A38" s="253">
        <v>1</v>
      </c>
      <c r="B38" s="12" t="s">
        <v>428</v>
      </c>
      <c r="C38" s="12" t="s">
        <v>29</v>
      </c>
      <c r="D38" s="252" t="s">
        <v>30</v>
      </c>
      <c r="E38" s="252">
        <v>2.9</v>
      </c>
      <c r="F38" s="252">
        <v>58</v>
      </c>
      <c r="G38" s="16">
        <f>H38*(100)/F38</f>
        <v>103.44827586206897</v>
      </c>
      <c r="H38" s="252">
        <v>60</v>
      </c>
      <c r="I38" s="17">
        <f>1/(H38/(10*F38))</f>
        <v>9.6666666666666661</v>
      </c>
      <c r="J38" s="252">
        <v>0</v>
      </c>
      <c r="K38" s="17">
        <f>I38-(I38/100*J38)</f>
        <v>9.6666666666666661</v>
      </c>
      <c r="L38" s="8">
        <v>882</v>
      </c>
      <c r="M38" s="8">
        <f>E38*L38</f>
        <v>2557.7999999999997</v>
      </c>
      <c r="N38" s="9">
        <f>A38/K38</f>
        <v>0.10344827586206898</v>
      </c>
      <c r="O38" s="9">
        <f>E38*N38</f>
        <v>0.30000000000000004</v>
      </c>
      <c r="P38" s="190">
        <f>O38*L38</f>
        <v>264.60000000000002</v>
      </c>
    </row>
    <row r="39" spans="1:16" ht="66" customHeight="1" x14ac:dyDescent="0.25">
      <c r="A39" s="253">
        <v>1</v>
      </c>
      <c r="B39" s="12" t="s">
        <v>429</v>
      </c>
      <c r="C39" s="12" t="s">
        <v>29</v>
      </c>
      <c r="D39" s="254" t="s">
        <v>30</v>
      </c>
      <c r="E39" s="252">
        <v>1.6</v>
      </c>
      <c r="F39" s="252">
        <v>73</v>
      </c>
      <c r="G39" s="16">
        <f>H39*100/F39</f>
        <v>219.17808219178082</v>
      </c>
      <c r="H39" s="252">
        <v>160</v>
      </c>
      <c r="I39" s="17">
        <f>1/(H39/(10*F39))</f>
        <v>4.5625</v>
      </c>
      <c r="J39" s="252">
        <v>0</v>
      </c>
      <c r="K39" s="17">
        <f>I39-(I39/100*J39)</f>
        <v>4.5625</v>
      </c>
      <c r="L39" s="8">
        <v>565</v>
      </c>
      <c r="M39" s="8">
        <f>E39*L39</f>
        <v>904</v>
      </c>
      <c r="N39" s="9">
        <f>A39/K39</f>
        <v>0.21917808219178081</v>
      </c>
      <c r="O39" s="9">
        <f>E39*N39</f>
        <v>0.35068493150684932</v>
      </c>
      <c r="P39" s="190">
        <f>O39*L39</f>
        <v>198.13698630136986</v>
      </c>
    </row>
    <row r="40" spans="1:16" ht="33" customHeight="1" x14ac:dyDescent="0.25">
      <c r="A40" s="253">
        <v>1</v>
      </c>
      <c r="B40" s="12" t="s">
        <v>43</v>
      </c>
      <c r="C40" s="12" t="s">
        <v>32</v>
      </c>
      <c r="D40" s="19">
        <v>7040</v>
      </c>
      <c r="E40" s="252">
        <v>1.3</v>
      </c>
      <c r="F40" s="252">
        <v>58</v>
      </c>
      <c r="G40" s="16">
        <f>H40*100/F40</f>
        <v>103.44827586206897</v>
      </c>
      <c r="H40" s="252">
        <v>60</v>
      </c>
      <c r="I40" s="17">
        <f>1/(H40/(10*F40))</f>
        <v>9.6666666666666661</v>
      </c>
      <c r="J40" s="252">
        <v>0</v>
      </c>
      <c r="K40" s="17">
        <f>I40-(I40/100*J40)</f>
        <v>9.6666666666666661</v>
      </c>
      <c r="L40" s="8">
        <v>740.5</v>
      </c>
      <c r="M40" s="8">
        <f>E40*L40</f>
        <v>962.65</v>
      </c>
      <c r="N40" s="9">
        <f>A40/K40</f>
        <v>0.10344827586206898</v>
      </c>
      <c r="O40" s="9">
        <f>E40*N40</f>
        <v>0.13448275862068967</v>
      </c>
      <c r="P40" s="190">
        <f>O40*L40</f>
        <v>99.584482758620709</v>
      </c>
    </row>
    <row r="41" spans="1:16" x14ac:dyDescent="0.25">
      <c r="A41" s="202"/>
      <c r="B41" s="274" t="s">
        <v>35</v>
      </c>
      <c r="C41" s="274"/>
      <c r="D41" s="274"/>
      <c r="E41" s="274"/>
      <c r="F41" s="274"/>
      <c r="G41" s="274"/>
      <c r="H41" s="251">
        <f>SUM(H38:H40)</f>
        <v>280</v>
      </c>
      <c r="I41" s="274" t="s">
        <v>223</v>
      </c>
      <c r="J41" s="274"/>
      <c r="K41" s="274"/>
      <c r="L41" s="274"/>
      <c r="M41" s="274"/>
      <c r="N41" s="274"/>
      <c r="O41" s="274"/>
      <c r="P41" s="191">
        <f>SUM(P38:P40)</f>
        <v>562.32146905999059</v>
      </c>
    </row>
  </sheetData>
  <mergeCells count="85">
    <mergeCell ref="B17:G17"/>
    <mergeCell ref="I17:O17"/>
    <mergeCell ref="M11:M13"/>
    <mergeCell ref="N11:N13"/>
    <mergeCell ref="O11:O13"/>
    <mergeCell ref="F11:F13"/>
    <mergeCell ref="P11:P13"/>
    <mergeCell ref="G12:G13"/>
    <mergeCell ref="H12:H13"/>
    <mergeCell ref="I12:I13"/>
    <mergeCell ref="J12:J13"/>
    <mergeCell ref="K12:K13"/>
    <mergeCell ref="G11:H11"/>
    <mergeCell ref="I11:K11"/>
    <mergeCell ref="L11:L13"/>
    <mergeCell ref="A11:A13"/>
    <mergeCell ref="B11:B13"/>
    <mergeCell ref="C11:C13"/>
    <mergeCell ref="D11:D13"/>
    <mergeCell ref="E11:E13"/>
    <mergeCell ref="B8:G8"/>
    <mergeCell ref="I8:O8"/>
    <mergeCell ref="M2:M4"/>
    <mergeCell ref="N2:N4"/>
    <mergeCell ref="O2:O4"/>
    <mergeCell ref="A7:D7"/>
    <mergeCell ref="F7:I7"/>
    <mergeCell ref="A1:P1"/>
    <mergeCell ref="A2:A4"/>
    <mergeCell ref="B2:B4"/>
    <mergeCell ref="C2:C4"/>
    <mergeCell ref="D2:D4"/>
    <mergeCell ref="E2:E4"/>
    <mergeCell ref="F2:F4"/>
    <mergeCell ref="G2:H2"/>
    <mergeCell ref="I2:K2"/>
    <mergeCell ref="L2:L4"/>
    <mergeCell ref="P2:P4"/>
    <mergeCell ref="G3:G4"/>
    <mergeCell ref="H3:H4"/>
    <mergeCell ref="I3:I4"/>
    <mergeCell ref="J3:J4"/>
    <mergeCell ref="K3:K4"/>
    <mergeCell ref="A23:A25"/>
    <mergeCell ref="B23:B25"/>
    <mergeCell ref="C23:C25"/>
    <mergeCell ref="D23:D25"/>
    <mergeCell ref="E23:E25"/>
    <mergeCell ref="F23:F25"/>
    <mergeCell ref="G23:H23"/>
    <mergeCell ref="I23:K23"/>
    <mergeCell ref="L23:L25"/>
    <mergeCell ref="M23:M25"/>
    <mergeCell ref="P23:P25"/>
    <mergeCell ref="G24:G25"/>
    <mergeCell ref="H24:H25"/>
    <mergeCell ref="I24:I25"/>
    <mergeCell ref="J24:J25"/>
    <mergeCell ref="K24:K25"/>
    <mergeCell ref="M34:M36"/>
    <mergeCell ref="N34:N36"/>
    <mergeCell ref="O34:O36"/>
    <mergeCell ref="N23:N25"/>
    <mergeCell ref="O23:O25"/>
    <mergeCell ref="E34:E36"/>
    <mergeCell ref="F34:F36"/>
    <mergeCell ref="G34:H34"/>
    <mergeCell ref="I34:K34"/>
    <mergeCell ref="L34:L36"/>
    <mergeCell ref="B41:G41"/>
    <mergeCell ref="I41:O41"/>
    <mergeCell ref="A22:P22"/>
    <mergeCell ref="A33:P33"/>
    <mergeCell ref="P34:P36"/>
    <mergeCell ref="G35:G36"/>
    <mergeCell ref="H35:H36"/>
    <mergeCell ref="I35:I36"/>
    <mergeCell ref="J35:J36"/>
    <mergeCell ref="K35:K36"/>
    <mergeCell ref="B29:G29"/>
    <mergeCell ref="I29:O29"/>
    <mergeCell ref="A34:A36"/>
    <mergeCell ref="B34:B36"/>
    <mergeCell ref="C34:C36"/>
    <mergeCell ref="D34:D36"/>
  </mergeCells>
  <pageMargins left="0.7" right="0.7" top="0.75" bottom="0.75" header="0.3" footer="0.3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EDDA-141E-46C1-B299-0C3ED29053B9}">
  <sheetPr>
    <pageSetUpPr fitToPage="1"/>
  </sheetPr>
  <dimension ref="B1:Y153"/>
  <sheetViews>
    <sheetView view="pageBreakPreview" topLeftCell="A75" zoomScale="55" zoomScaleNormal="70" zoomScaleSheetLayoutView="55" workbookViewId="0">
      <selection activeCell="B87" sqref="B87:Q87"/>
    </sheetView>
  </sheetViews>
  <sheetFormatPr defaultColWidth="9.140625" defaultRowHeight="15" x14ac:dyDescent="0.25"/>
  <cols>
    <col min="1" max="1" width="9.140625" style="14"/>
    <col min="2" max="2" width="18.140625" style="14" customWidth="1"/>
    <col min="3" max="3" width="38" style="14" customWidth="1"/>
    <col min="4" max="4" width="14.7109375" style="14" customWidth="1"/>
    <col min="5" max="5" width="12.28515625" style="14" customWidth="1"/>
    <col min="6" max="6" width="14.140625" style="14" customWidth="1"/>
    <col min="7" max="8" width="9" style="14" customWidth="1"/>
    <col min="9" max="9" width="12.28515625" style="14" customWidth="1"/>
    <col min="10" max="12" width="9" style="14" customWidth="1"/>
    <col min="13" max="13" width="12.7109375" style="14" customWidth="1"/>
    <col min="14" max="14" width="13.42578125" style="14" customWidth="1"/>
    <col min="15" max="15" width="16.7109375" style="14" customWidth="1"/>
    <col min="16" max="16" width="21.5703125" style="14" customWidth="1"/>
    <col min="17" max="17" width="34.7109375" style="14" customWidth="1"/>
    <col min="18" max="19" width="21.5703125" style="14" customWidth="1"/>
    <col min="20" max="16384" width="9.140625" style="14"/>
  </cols>
  <sheetData>
    <row r="1" spans="2:25" x14ac:dyDescent="0.25"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0"/>
    </row>
    <row r="2" spans="2:25" x14ac:dyDescent="0.25">
      <c r="B2" s="37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31"/>
    </row>
    <row r="3" spans="2:25" x14ac:dyDescent="0.25">
      <c r="B3" s="37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31"/>
    </row>
    <row r="4" spans="2:25" x14ac:dyDescent="0.25">
      <c r="B4" s="37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1"/>
    </row>
    <row r="5" spans="2:25" ht="132" customHeight="1" thickBot="1" x14ac:dyDescent="0.3">
      <c r="B5" s="37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31"/>
    </row>
    <row r="6" spans="2:25" ht="49.5" customHeight="1" x14ac:dyDescent="0.25">
      <c r="B6" s="280" t="s">
        <v>384</v>
      </c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2"/>
    </row>
    <row r="7" spans="2:25" s="15" customFormat="1" ht="15.75" customHeight="1" x14ac:dyDescent="0.25">
      <c r="B7" s="279" t="s">
        <v>220</v>
      </c>
      <c r="C7" s="278" t="s">
        <v>1</v>
      </c>
      <c r="D7" s="278" t="s">
        <v>2</v>
      </c>
      <c r="E7" s="278" t="s">
        <v>3</v>
      </c>
      <c r="F7" s="278" t="s">
        <v>4</v>
      </c>
      <c r="G7" s="278" t="s">
        <v>5</v>
      </c>
      <c r="H7" s="278" t="s">
        <v>6</v>
      </c>
      <c r="I7" s="278"/>
      <c r="J7" s="278"/>
      <c r="K7" s="278"/>
      <c r="L7" s="278"/>
      <c r="M7" s="278" t="s">
        <v>8</v>
      </c>
      <c r="N7" s="278" t="s">
        <v>9</v>
      </c>
      <c r="O7" s="278" t="s">
        <v>10</v>
      </c>
      <c r="P7" s="278" t="s">
        <v>390</v>
      </c>
      <c r="Q7" s="277" t="s">
        <v>12</v>
      </c>
    </row>
    <row r="8" spans="2:25" s="15" customFormat="1" ht="15.75" x14ac:dyDescent="0.25">
      <c r="B8" s="279"/>
      <c r="C8" s="278"/>
      <c r="D8" s="278"/>
      <c r="E8" s="278"/>
      <c r="F8" s="278"/>
      <c r="G8" s="278"/>
      <c r="H8" s="278" t="s">
        <v>13</v>
      </c>
      <c r="I8" s="278" t="s">
        <v>14</v>
      </c>
      <c r="J8" s="278" t="s">
        <v>15</v>
      </c>
      <c r="K8" s="278" t="s">
        <v>16</v>
      </c>
      <c r="L8" s="278" t="s">
        <v>17</v>
      </c>
      <c r="M8" s="278"/>
      <c r="N8" s="278"/>
      <c r="O8" s="278"/>
      <c r="P8" s="278"/>
      <c r="Q8" s="277"/>
    </row>
    <row r="9" spans="2:25" s="15" customFormat="1" ht="15.75" x14ac:dyDescent="0.25">
      <c r="B9" s="279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7"/>
    </row>
    <row r="10" spans="2:25" s="15" customFormat="1" ht="28.5" customHeight="1" x14ac:dyDescent="0.25">
      <c r="B10" s="188" t="s">
        <v>18</v>
      </c>
      <c r="C10" s="199" t="s">
        <v>19</v>
      </c>
      <c r="D10" s="199"/>
      <c r="E10" s="199" t="s">
        <v>20</v>
      </c>
      <c r="F10" s="199" t="s">
        <v>21</v>
      </c>
      <c r="G10" s="199" t="s">
        <v>22</v>
      </c>
      <c r="H10" s="199" t="s">
        <v>23</v>
      </c>
      <c r="I10" s="199" t="s">
        <v>23</v>
      </c>
      <c r="J10" s="199" t="s">
        <v>24</v>
      </c>
      <c r="K10" s="199" t="s">
        <v>22</v>
      </c>
      <c r="L10" s="199" t="s">
        <v>24</v>
      </c>
      <c r="M10" s="199" t="s">
        <v>25</v>
      </c>
      <c r="N10" s="199" t="s">
        <v>25</v>
      </c>
      <c r="O10" s="199" t="s">
        <v>26</v>
      </c>
      <c r="P10" s="199" t="s">
        <v>27</v>
      </c>
      <c r="Q10" s="189" t="s">
        <v>28</v>
      </c>
    </row>
    <row r="11" spans="2:25" s="15" customFormat="1" ht="32.25" customHeight="1" x14ac:dyDescent="0.25">
      <c r="B11" s="188">
        <v>1</v>
      </c>
      <c r="C11" s="12" t="s">
        <v>176</v>
      </c>
      <c r="D11" s="12" t="s">
        <v>29</v>
      </c>
      <c r="E11" s="199" t="s">
        <v>30</v>
      </c>
      <c r="F11" s="199">
        <v>1.5</v>
      </c>
      <c r="G11" s="199">
        <v>85</v>
      </c>
      <c r="H11" s="16">
        <f>I11*(105)/G11</f>
        <v>222.35294117647058</v>
      </c>
      <c r="I11" s="199">
        <v>180</v>
      </c>
      <c r="J11" s="17">
        <f>1/(I11/(10*G11))</f>
        <v>4.7222222222222223</v>
      </c>
      <c r="K11" s="199">
        <v>30</v>
      </c>
      <c r="L11" s="17">
        <f>J11-(J11/100*K11)</f>
        <v>3.3055555555555558</v>
      </c>
      <c r="M11" s="8">
        <f>370*1.4</f>
        <v>518</v>
      </c>
      <c r="N11" s="8">
        <f>F11*M11</f>
        <v>777</v>
      </c>
      <c r="O11" s="9">
        <f>B11/L11</f>
        <v>0.30252100840336132</v>
      </c>
      <c r="P11" s="9">
        <f>F11*O11</f>
        <v>0.45378151260504196</v>
      </c>
      <c r="Q11" s="190">
        <f>P11*M11</f>
        <v>235.05882352941174</v>
      </c>
    </row>
    <row r="12" spans="2:25" s="15" customFormat="1" ht="38.25" customHeight="1" x14ac:dyDescent="0.25">
      <c r="B12" s="188">
        <v>1</v>
      </c>
      <c r="C12" s="12" t="s">
        <v>43</v>
      </c>
      <c r="D12" s="12" t="s">
        <v>32</v>
      </c>
      <c r="E12" s="19">
        <v>7040</v>
      </c>
      <c r="F12" s="199">
        <v>1.3</v>
      </c>
      <c r="G12" s="199">
        <v>58</v>
      </c>
      <c r="H12" s="16">
        <f>I12*100/G12</f>
        <v>103.44827586206897</v>
      </c>
      <c r="I12" s="199">
        <v>60</v>
      </c>
      <c r="J12" s="17">
        <f>1/(I12/(10*G12))</f>
        <v>9.6666666666666661</v>
      </c>
      <c r="K12" s="199">
        <v>30</v>
      </c>
      <c r="L12" s="17">
        <f>J12-(J12/100*K12)</f>
        <v>6.7666666666666657</v>
      </c>
      <c r="M12" s="8">
        <f>546*1.4</f>
        <v>764.4</v>
      </c>
      <c r="N12" s="8">
        <f>F12*M12</f>
        <v>993.72</v>
      </c>
      <c r="O12" s="9">
        <f>B12/L12</f>
        <v>0.14778325123152711</v>
      </c>
      <c r="P12" s="9">
        <f>F12*O12</f>
        <v>0.19211822660098524</v>
      </c>
      <c r="Q12" s="190">
        <f>P12*M12</f>
        <v>146.8551724137931</v>
      </c>
    </row>
    <row r="13" spans="2:25" s="15" customFormat="1" ht="38.25" customHeight="1" x14ac:dyDescent="0.25">
      <c r="B13" s="346" t="s">
        <v>385</v>
      </c>
      <c r="C13" s="284"/>
      <c r="D13" s="284"/>
      <c r="E13" s="285"/>
      <c r="F13" s="201">
        <v>0.9</v>
      </c>
      <c r="G13" s="283">
        <v>5</v>
      </c>
      <c r="H13" s="284"/>
      <c r="I13" s="284"/>
      <c r="J13" s="285"/>
      <c r="K13" s="201"/>
      <c r="L13" s="201"/>
      <c r="M13" s="4">
        <f>205*1.5</f>
        <v>307.5</v>
      </c>
      <c r="N13" s="12">
        <v>420</v>
      </c>
      <c r="O13" s="13">
        <f>O11*(G13/100)</f>
        <v>1.5126050420168067E-2</v>
      </c>
      <c r="P13" s="9">
        <f>P11*0.05</f>
        <v>2.26890756302521E-2</v>
      </c>
      <c r="Q13" s="22">
        <f>P13*N13</f>
        <v>9.5294117647058822</v>
      </c>
    </row>
    <row r="14" spans="2:25" s="15" customFormat="1" ht="38.25" customHeight="1" x14ac:dyDescent="0.25">
      <c r="B14" s="346" t="s">
        <v>386</v>
      </c>
      <c r="C14" s="284"/>
      <c r="D14" s="284"/>
      <c r="E14" s="285"/>
      <c r="F14" s="201">
        <v>0.9</v>
      </c>
      <c r="G14" s="283">
        <v>5</v>
      </c>
      <c r="H14" s="284"/>
      <c r="I14" s="284"/>
      <c r="J14" s="285"/>
      <c r="K14" s="201"/>
      <c r="L14" s="201"/>
      <c r="M14" s="4">
        <f>250*1.5</f>
        <v>375</v>
      </c>
      <c r="N14" s="12">
        <v>420</v>
      </c>
      <c r="O14" s="13">
        <f>O12*(G14/100)</f>
        <v>7.3891625615763561E-3</v>
      </c>
      <c r="P14" s="9">
        <f>P12*0.05</f>
        <v>9.6059113300492622E-3</v>
      </c>
      <c r="Q14" s="22">
        <f>P14*N14</f>
        <v>4.0344827586206904</v>
      </c>
    </row>
    <row r="15" spans="2:25" ht="39" customHeight="1" x14ac:dyDescent="0.25">
      <c r="B15" s="202"/>
      <c r="C15" s="274" t="s">
        <v>35</v>
      </c>
      <c r="D15" s="274"/>
      <c r="E15" s="274"/>
      <c r="F15" s="274"/>
      <c r="G15" s="274"/>
      <c r="H15" s="274"/>
      <c r="I15" s="200">
        <f>SUM(I11:I12)</f>
        <v>240</v>
      </c>
      <c r="J15" s="274" t="s">
        <v>223</v>
      </c>
      <c r="K15" s="274"/>
      <c r="L15" s="274"/>
      <c r="M15" s="274"/>
      <c r="N15" s="274"/>
      <c r="O15" s="274"/>
      <c r="P15" s="274"/>
      <c r="Q15" s="191">
        <f>SUM(Q11:Q14)</f>
        <v>395.47789046653139</v>
      </c>
      <c r="V15" s="14">
        <f>Q15/1.22</f>
        <v>324.16220530043557</v>
      </c>
    </row>
    <row r="16" spans="2:25" ht="81.75" customHeight="1" x14ac:dyDescent="0.25">
      <c r="B16" s="303" t="s">
        <v>391</v>
      </c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5"/>
      <c r="Y16" s="14">
        <f>76860/2000</f>
        <v>38.43</v>
      </c>
    </row>
    <row r="17" spans="2:25" ht="15.75" customHeight="1" x14ac:dyDescent="0.25">
      <c r="B17" s="306"/>
      <c r="C17" s="307"/>
      <c r="D17" s="307"/>
      <c r="E17" s="307"/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8"/>
    </row>
    <row r="18" spans="2:25" ht="78" customHeight="1" thickBot="1" x14ac:dyDescent="0.3">
      <c r="B18" s="309"/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1"/>
    </row>
    <row r="19" spans="2:25" ht="15.75" x14ac:dyDescent="0.25">
      <c r="B19" s="280" t="s">
        <v>384</v>
      </c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2"/>
    </row>
    <row r="20" spans="2:25" ht="43.5" customHeight="1" x14ac:dyDescent="0.25">
      <c r="B20" s="279" t="s">
        <v>220</v>
      </c>
      <c r="C20" s="278" t="s">
        <v>1</v>
      </c>
      <c r="D20" s="278" t="s">
        <v>2</v>
      </c>
      <c r="E20" s="278" t="s">
        <v>3</v>
      </c>
      <c r="F20" s="278" t="s">
        <v>4</v>
      </c>
      <c r="G20" s="278" t="s">
        <v>5</v>
      </c>
      <c r="H20" s="278" t="s">
        <v>6</v>
      </c>
      <c r="I20" s="278"/>
      <c r="J20" s="278"/>
      <c r="K20" s="278"/>
      <c r="L20" s="278"/>
      <c r="M20" s="278" t="s">
        <v>8</v>
      </c>
      <c r="N20" s="278" t="s">
        <v>9</v>
      </c>
      <c r="O20" s="278" t="s">
        <v>10</v>
      </c>
      <c r="P20" s="278" t="s">
        <v>390</v>
      </c>
      <c r="Q20" s="277" t="s">
        <v>12</v>
      </c>
      <c r="Y20" s="203">
        <f>Y16+Q15</f>
        <v>433.9078904665314</v>
      </c>
    </row>
    <row r="21" spans="2:25" s="15" customFormat="1" ht="15.75" customHeight="1" x14ac:dyDescent="0.25">
      <c r="B21" s="279"/>
      <c r="C21" s="278"/>
      <c r="D21" s="278"/>
      <c r="E21" s="278"/>
      <c r="F21" s="278"/>
      <c r="G21" s="278"/>
      <c r="H21" s="278" t="s">
        <v>13</v>
      </c>
      <c r="I21" s="278" t="s">
        <v>14</v>
      </c>
      <c r="J21" s="278" t="s">
        <v>15</v>
      </c>
      <c r="K21" s="278" t="s">
        <v>16</v>
      </c>
      <c r="L21" s="278" t="s">
        <v>17</v>
      </c>
      <c r="M21" s="278"/>
      <c r="N21" s="278"/>
      <c r="O21" s="278"/>
      <c r="P21" s="278"/>
      <c r="Q21" s="277"/>
    </row>
    <row r="22" spans="2:25" s="15" customFormat="1" ht="15.75" x14ac:dyDescent="0.25">
      <c r="B22" s="279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7"/>
      <c r="Y22" s="15">
        <f>Y20/1.22</f>
        <v>355.66220530043557</v>
      </c>
    </row>
    <row r="23" spans="2:25" s="15" customFormat="1" ht="15.75" x14ac:dyDescent="0.25">
      <c r="B23" s="188" t="s">
        <v>18</v>
      </c>
      <c r="C23" s="199" t="s">
        <v>19</v>
      </c>
      <c r="D23" s="199"/>
      <c r="E23" s="199" t="s">
        <v>20</v>
      </c>
      <c r="F23" s="199" t="s">
        <v>21</v>
      </c>
      <c r="G23" s="199" t="s">
        <v>22</v>
      </c>
      <c r="H23" s="199" t="s">
        <v>23</v>
      </c>
      <c r="I23" s="199" t="s">
        <v>23</v>
      </c>
      <c r="J23" s="199" t="s">
        <v>24</v>
      </c>
      <c r="K23" s="199" t="s">
        <v>22</v>
      </c>
      <c r="L23" s="199" t="s">
        <v>24</v>
      </c>
      <c r="M23" s="199" t="s">
        <v>25</v>
      </c>
      <c r="N23" s="199" t="s">
        <v>25</v>
      </c>
      <c r="O23" s="199" t="s">
        <v>26</v>
      </c>
      <c r="P23" s="199" t="s">
        <v>27</v>
      </c>
      <c r="Q23" s="189" t="s">
        <v>28</v>
      </c>
    </row>
    <row r="24" spans="2:25" s="15" customFormat="1" ht="28.5" customHeight="1" x14ac:dyDescent="0.25">
      <c r="B24" s="188">
        <v>2000</v>
      </c>
      <c r="C24" s="12" t="s">
        <v>176</v>
      </c>
      <c r="D24" s="12" t="s">
        <v>29</v>
      </c>
      <c r="E24" s="199" t="s">
        <v>30</v>
      </c>
      <c r="F24" s="199">
        <v>1.5</v>
      </c>
      <c r="G24" s="199">
        <v>85</v>
      </c>
      <c r="H24" s="16">
        <f>I24*(105)/G24</f>
        <v>222.35294117647058</v>
      </c>
      <c r="I24" s="199">
        <v>180</v>
      </c>
      <c r="J24" s="17">
        <f>1/(I24/(10*G24))</f>
        <v>4.7222222222222223</v>
      </c>
      <c r="K24" s="199">
        <v>30</v>
      </c>
      <c r="L24" s="17">
        <f>J24-(J24/100*K24)</f>
        <v>3.3055555555555558</v>
      </c>
      <c r="M24" s="8">
        <f>370*1.4</f>
        <v>518</v>
      </c>
      <c r="N24" s="8">
        <f>F24*M24</f>
        <v>777</v>
      </c>
      <c r="O24" s="9">
        <f>B24/L24</f>
        <v>605.0420168067227</v>
      </c>
      <c r="P24" s="9">
        <f>F24*O24</f>
        <v>907.56302521008411</v>
      </c>
      <c r="Q24" s="190">
        <f>P24*M24</f>
        <v>470117.64705882355</v>
      </c>
    </row>
    <row r="25" spans="2:25" s="15" customFormat="1" ht="32.25" customHeight="1" x14ac:dyDescent="0.25">
      <c r="B25" s="188">
        <v>2000</v>
      </c>
      <c r="C25" s="12" t="s">
        <v>43</v>
      </c>
      <c r="D25" s="12" t="s">
        <v>32</v>
      </c>
      <c r="E25" s="19">
        <v>7036</v>
      </c>
      <c r="F25" s="199">
        <v>1.3</v>
      </c>
      <c r="G25" s="199">
        <v>58</v>
      </c>
      <c r="H25" s="16">
        <f>I25*100/G25</f>
        <v>103.44827586206897</v>
      </c>
      <c r="I25" s="199">
        <v>60</v>
      </c>
      <c r="J25" s="17">
        <f>1/(I25/(10*G25))</f>
        <v>9.6666666666666661</v>
      </c>
      <c r="K25" s="199">
        <v>30</v>
      </c>
      <c r="L25" s="17">
        <f>J25-(J25/100*K25)</f>
        <v>6.7666666666666657</v>
      </c>
      <c r="M25" s="8">
        <f>546*1.4</f>
        <v>764.4</v>
      </c>
      <c r="N25" s="8">
        <f>F25*M25</f>
        <v>993.72</v>
      </c>
      <c r="O25" s="9">
        <f>B25/L25</f>
        <v>295.56650246305423</v>
      </c>
      <c r="P25" s="9">
        <f>F25*O25</f>
        <v>384.23645320197051</v>
      </c>
      <c r="Q25" s="190">
        <f>P25*M25</f>
        <v>293710.34482758626</v>
      </c>
    </row>
    <row r="26" spans="2:25" s="15" customFormat="1" ht="56.25" customHeight="1" x14ac:dyDescent="0.25">
      <c r="B26" s="346" t="s">
        <v>385</v>
      </c>
      <c r="C26" s="284"/>
      <c r="D26" s="284"/>
      <c r="E26" s="285"/>
      <c r="F26" s="201">
        <v>0.9</v>
      </c>
      <c r="G26" s="283">
        <v>5</v>
      </c>
      <c r="H26" s="284"/>
      <c r="I26" s="284"/>
      <c r="J26" s="285"/>
      <c r="K26" s="201"/>
      <c r="L26" s="201"/>
      <c r="M26" s="4">
        <f>205*1.5</f>
        <v>307.5</v>
      </c>
      <c r="N26" s="12">
        <v>420</v>
      </c>
      <c r="O26" s="13">
        <f>O24*(G26/100)</f>
        <v>30.252100840336137</v>
      </c>
      <c r="P26" s="9">
        <f>P24*0.05</f>
        <v>45.378151260504211</v>
      </c>
      <c r="Q26" s="22">
        <f>P26*N26</f>
        <v>19058.823529411769</v>
      </c>
    </row>
    <row r="27" spans="2:25" ht="15.75" x14ac:dyDescent="0.25">
      <c r="B27" s="346" t="s">
        <v>386</v>
      </c>
      <c r="C27" s="284"/>
      <c r="D27" s="284"/>
      <c r="E27" s="285"/>
      <c r="F27" s="201">
        <v>0.9</v>
      </c>
      <c r="G27" s="283">
        <v>5</v>
      </c>
      <c r="H27" s="284"/>
      <c r="I27" s="284"/>
      <c r="J27" s="285"/>
      <c r="K27" s="201"/>
      <c r="L27" s="201"/>
      <c r="M27" s="4">
        <f>250*1.5</f>
        <v>375</v>
      </c>
      <c r="N27" s="12">
        <v>420</v>
      </c>
      <c r="O27" s="13">
        <f>O25*(G27/100)</f>
        <v>14.778325123152712</v>
      </c>
      <c r="P27" s="9">
        <f>P25*0.05</f>
        <v>19.211822660098527</v>
      </c>
      <c r="Q27" s="22">
        <f>P27*N27</f>
        <v>8068.9655172413813</v>
      </c>
    </row>
    <row r="28" spans="2:25" ht="29.25" customHeight="1" x14ac:dyDescent="0.25">
      <c r="B28" s="202"/>
      <c r="C28" s="274" t="s">
        <v>35</v>
      </c>
      <c r="D28" s="274"/>
      <c r="E28" s="274"/>
      <c r="F28" s="274"/>
      <c r="G28" s="274"/>
      <c r="H28" s="274"/>
      <c r="I28" s="200">
        <f>SUM(I24:I25)</f>
        <v>240</v>
      </c>
      <c r="J28" s="274" t="s">
        <v>223</v>
      </c>
      <c r="K28" s="274"/>
      <c r="L28" s="274"/>
      <c r="M28" s="274"/>
      <c r="N28" s="274"/>
      <c r="O28" s="274"/>
      <c r="P28" s="274"/>
      <c r="Q28" s="191">
        <f>SUM(Q24:Q27)</f>
        <v>790955.78093306301</v>
      </c>
    </row>
    <row r="29" spans="2:25" ht="81.75" customHeight="1" x14ac:dyDescent="0.25">
      <c r="B29" s="303" t="s">
        <v>391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5"/>
      <c r="Y29" s="14">
        <f>76860/2000</f>
        <v>38.43</v>
      </c>
    </row>
    <row r="30" spans="2:25" ht="15.75" customHeight="1" x14ac:dyDescent="0.25">
      <c r="B30" s="306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8"/>
    </row>
    <row r="31" spans="2:25" ht="78" customHeight="1" thickBot="1" x14ac:dyDescent="0.3">
      <c r="B31" s="309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1"/>
    </row>
    <row r="32" spans="2:25" ht="36" customHeight="1" x14ac:dyDescent="0.25">
      <c r="B32" s="312"/>
      <c r="C32" s="313"/>
      <c r="D32" s="313"/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4"/>
      <c r="Q32" s="191"/>
    </row>
    <row r="33" spans="2:17" s="15" customFormat="1" ht="15.75" customHeight="1" x14ac:dyDescent="0.25">
      <c r="B33" s="300" t="s">
        <v>372</v>
      </c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2"/>
    </row>
    <row r="34" spans="2:17" s="15" customFormat="1" ht="15.75" x14ac:dyDescent="0.25">
      <c r="B34" s="279" t="s">
        <v>220</v>
      </c>
      <c r="C34" s="278" t="s">
        <v>1</v>
      </c>
      <c r="D34" s="278" t="s">
        <v>2</v>
      </c>
      <c r="E34" s="278" t="s">
        <v>3</v>
      </c>
      <c r="F34" s="278" t="s">
        <v>4</v>
      </c>
      <c r="G34" s="278" t="s">
        <v>5</v>
      </c>
      <c r="H34" s="278" t="s">
        <v>6</v>
      </c>
      <c r="I34" s="278"/>
      <c r="J34" s="278"/>
      <c r="K34" s="278"/>
      <c r="L34" s="278"/>
      <c r="M34" s="278" t="s">
        <v>8</v>
      </c>
      <c r="N34" s="278" t="s">
        <v>9</v>
      </c>
      <c r="O34" s="278" t="s">
        <v>10</v>
      </c>
      <c r="P34" s="278" t="s">
        <v>222</v>
      </c>
      <c r="Q34" s="277" t="s">
        <v>12</v>
      </c>
    </row>
    <row r="35" spans="2:17" s="15" customFormat="1" ht="15.75" x14ac:dyDescent="0.25">
      <c r="B35" s="279"/>
      <c r="C35" s="278"/>
      <c r="D35" s="278"/>
      <c r="E35" s="278"/>
      <c r="F35" s="278"/>
      <c r="G35" s="278"/>
      <c r="H35" s="278" t="s">
        <v>13</v>
      </c>
      <c r="I35" s="278" t="s">
        <v>14</v>
      </c>
      <c r="J35" s="278" t="s">
        <v>15</v>
      </c>
      <c r="K35" s="278" t="s">
        <v>16</v>
      </c>
      <c r="L35" s="278" t="s">
        <v>17</v>
      </c>
      <c r="M35" s="278"/>
      <c r="N35" s="278"/>
      <c r="O35" s="278"/>
      <c r="P35" s="278"/>
      <c r="Q35" s="277"/>
    </row>
    <row r="36" spans="2:17" s="15" customFormat="1" ht="28.5" customHeight="1" x14ac:dyDescent="0.25">
      <c r="B36" s="279"/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7"/>
    </row>
    <row r="37" spans="2:17" s="15" customFormat="1" ht="32.25" customHeight="1" x14ac:dyDescent="0.25">
      <c r="B37" s="188" t="s">
        <v>18</v>
      </c>
      <c r="C37" s="185" t="s">
        <v>19</v>
      </c>
      <c r="D37" s="185"/>
      <c r="E37" s="185" t="s">
        <v>20</v>
      </c>
      <c r="F37" s="185" t="s">
        <v>21</v>
      </c>
      <c r="G37" s="185" t="s">
        <v>22</v>
      </c>
      <c r="H37" s="185" t="s">
        <v>23</v>
      </c>
      <c r="I37" s="185" t="s">
        <v>23</v>
      </c>
      <c r="J37" s="185" t="s">
        <v>24</v>
      </c>
      <c r="K37" s="185" t="s">
        <v>22</v>
      </c>
      <c r="L37" s="185" t="s">
        <v>24</v>
      </c>
      <c r="M37" s="185" t="s">
        <v>25</v>
      </c>
      <c r="N37" s="185" t="s">
        <v>25</v>
      </c>
      <c r="O37" s="185" t="s">
        <v>26</v>
      </c>
      <c r="P37" s="185" t="s">
        <v>27</v>
      </c>
      <c r="Q37" s="189" t="s">
        <v>28</v>
      </c>
    </row>
    <row r="38" spans="2:17" s="15" customFormat="1" ht="38.25" customHeight="1" x14ac:dyDescent="0.25">
      <c r="B38" s="188">
        <v>1</v>
      </c>
      <c r="C38" s="12" t="s">
        <v>42</v>
      </c>
      <c r="D38" s="12" t="s">
        <v>29</v>
      </c>
      <c r="E38" s="185" t="s">
        <v>30</v>
      </c>
      <c r="F38" s="185">
        <v>1.4</v>
      </c>
      <c r="G38" s="185">
        <v>73</v>
      </c>
      <c r="H38" s="16">
        <f>I38*(100)/G38</f>
        <v>109.58904109589041</v>
      </c>
      <c r="I38" s="185">
        <v>80</v>
      </c>
      <c r="J38" s="17">
        <f>1/(I38/(10*G38))</f>
        <v>9.125</v>
      </c>
      <c r="K38" s="185">
        <v>0</v>
      </c>
      <c r="L38" s="17">
        <f>J38-(J38/100*K38)</f>
        <v>9.125</v>
      </c>
      <c r="M38" s="8">
        <v>532</v>
      </c>
      <c r="N38" s="8">
        <f>F38*M38</f>
        <v>744.8</v>
      </c>
      <c r="O38" s="9">
        <f>B38/L38</f>
        <v>0.1095890410958904</v>
      </c>
      <c r="P38" s="9">
        <f>F38*O38</f>
        <v>0.15342465753424656</v>
      </c>
      <c r="Q38" s="190">
        <f>P38*M38</f>
        <v>81.621917808219166</v>
      </c>
    </row>
    <row r="39" spans="2:17" ht="15.75" x14ac:dyDescent="0.25">
      <c r="B39" s="188">
        <v>1</v>
      </c>
      <c r="C39" s="12" t="s">
        <v>43</v>
      </c>
      <c r="D39" s="12" t="s">
        <v>32</v>
      </c>
      <c r="E39" s="19">
        <v>5003</v>
      </c>
      <c r="F39" s="185">
        <v>1.3</v>
      </c>
      <c r="G39" s="185">
        <v>58</v>
      </c>
      <c r="H39" s="16">
        <f>I39*110/G39</f>
        <v>94.827586206896555</v>
      </c>
      <c r="I39" s="185">
        <v>50</v>
      </c>
      <c r="J39" s="17">
        <f>1/(I39/(10*G39))</f>
        <v>11.6</v>
      </c>
      <c r="K39" s="185">
        <v>0</v>
      </c>
      <c r="L39" s="17">
        <f>J39-(J39/100*K39)</f>
        <v>11.6</v>
      </c>
      <c r="M39" s="8">
        <v>700</v>
      </c>
      <c r="N39" s="8">
        <f>F39*M39</f>
        <v>910</v>
      </c>
      <c r="O39" s="9">
        <f>B39/L39</f>
        <v>8.6206896551724144E-2</v>
      </c>
      <c r="P39" s="9">
        <f>F39*O39</f>
        <v>0.1120689655172414</v>
      </c>
      <c r="Q39" s="190">
        <f>P39*M39</f>
        <v>78.448275862068982</v>
      </c>
    </row>
    <row r="40" spans="2:17" ht="113.45" customHeight="1" x14ac:dyDescent="0.25">
      <c r="B40" s="188"/>
      <c r="C40" s="335" t="s">
        <v>35</v>
      </c>
      <c r="D40" s="335"/>
      <c r="E40" s="335"/>
      <c r="F40" s="335"/>
      <c r="G40" s="335"/>
      <c r="H40" s="335"/>
      <c r="I40" s="185">
        <f>SUM(I38:I39)</f>
        <v>130</v>
      </c>
      <c r="J40" s="274" t="s">
        <v>223</v>
      </c>
      <c r="K40" s="274"/>
      <c r="L40" s="274"/>
      <c r="M40" s="274"/>
      <c r="N40" s="274"/>
      <c r="O40" s="274"/>
      <c r="P40" s="274"/>
      <c r="Q40" s="191">
        <f>SUM(Q38:Q39)</f>
        <v>160.07019367028815</v>
      </c>
    </row>
    <row r="41" spans="2:17" x14ac:dyDescent="0.25">
      <c r="B41" s="303" t="s">
        <v>373</v>
      </c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5"/>
    </row>
    <row r="42" spans="2:17" x14ac:dyDescent="0.25">
      <c r="B42" s="306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8"/>
    </row>
    <row r="43" spans="2:17" ht="15.75" thickBot="1" x14ac:dyDescent="0.3">
      <c r="B43" s="309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1"/>
    </row>
    <row r="44" spans="2:17" x14ac:dyDescent="0.25">
      <c r="B44" s="336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</row>
    <row r="45" spans="2:17" ht="18.75" x14ac:dyDescent="0.25">
      <c r="B45" s="342" t="s">
        <v>219</v>
      </c>
      <c r="C45" s="343"/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  <c r="P45" s="343"/>
      <c r="Q45" s="343"/>
    </row>
    <row r="46" spans="2:17" ht="15.75" x14ac:dyDescent="0.25">
      <c r="B46" s="278" t="s">
        <v>220</v>
      </c>
      <c r="C46" s="278" t="s">
        <v>1</v>
      </c>
      <c r="D46" s="278" t="s">
        <v>2</v>
      </c>
      <c r="E46" s="278" t="s">
        <v>3</v>
      </c>
      <c r="F46" s="278" t="s">
        <v>4</v>
      </c>
      <c r="G46" s="278" t="s">
        <v>5</v>
      </c>
      <c r="H46" s="278" t="s">
        <v>6</v>
      </c>
      <c r="I46" s="278"/>
      <c r="J46" s="278"/>
      <c r="K46" s="278"/>
      <c r="L46" s="278"/>
      <c r="M46" s="278" t="s">
        <v>8</v>
      </c>
      <c r="N46" s="278" t="s">
        <v>9</v>
      </c>
      <c r="O46" s="278" t="s">
        <v>10</v>
      </c>
      <c r="P46" s="278" t="s">
        <v>222</v>
      </c>
      <c r="Q46" s="338" t="s">
        <v>12</v>
      </c>
    </row>
    <row r="47" spans="2:17" x14ac:dyDescent="0.25">
      <c r="B47" s="278"/>
      <c r="C47" s="278"/>
      <c r="D47" s="278"/>
      <c r="E47" s="278"/>
      <c r="F47" s="278"/>
      <c r="G47" s="278"/>
      <c r="H47" s="278" t="s">
        <v>13</v>
      </c>
      <c r="I47" s="278" t="s">
        <v>14</v>
      </c>
      <c r="J47" s="278" t="s">
        <v>15</v>
      </c>
      <c r="K47" s="278" t="s">
        <v>16</v>
      </c>
      <c r="L47" s="278" t="s">
        <v>17</v>
      </c>
      <c r="M47" s="278"/>
      <c r="N47" s="278"/>
      <c r="O47" s="278"/>
      <c r="P47" s="278"/>
      <c r="Q47" s="338"/>
    </row>
    <row r="48" spans="2:17" ht="19.5" customHeight="1" x14ac:dyDescent="0.25"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338"/>
    </row>
    <row r="49" spans="2:23" ht="15.75" x14ac:dyDescent="0.25">
      <c r="B49" s="3" t="s">
        <v>18</v>
      </c>
      <c r="C49" s="3" t="s">
        <v>19</v>
      </c>
      <c r="D49" s="3"/>
      <c r="E49" s="3" t="s">
        <v>20</v>
      </c>
      <c r="F49" s="3" t="s">
        <v>21</v>
      </c>
      <c r="G49" s="3" t="s">
        <v>22</v>
      </c>
      <c r="H49" s="3" t="s">
        <v>23</v>
      </c>
      <c r="I49" s="3" t="s">
        <v>23</v>
      </c>
      <c r="J49" s="3" t="s">
        <v>24</v>
      </c>
      <c r="K49" s="3" t="s">
        <v>22</v>
      </c>
      <c r="L49" s="3" t="s">
        <v>24</v>
      </c>
      <c r="M49" s="3" t="s">
        <v>25</v>
      </c>
      <c r="N49" s="3" t="s">
        <v>25</v>
      </c>
      <c r="O49" s="3" t="s">
        <v>26</v>
      </c>
      <c r="P49" s="3" t="s">
        <v>27</v>
      </c>
      <c r="Q49" s="3" t="s">
        <v>28</v>
      </c>
    </row>
    <row r="50" spans="2:23" ht="15.75" x14ac:dyDescent="0.25">
      <c r="B50" s="3">
        <v>9</v>
      </c>
      <c r="C50" s="12" t="s">
        <v>42</v>
      </c>
      <c r="D50" s="12" t="s">
        <v>29</v>
      </c>
      <c r="E50" s="3" t="s">
        <v>30</v>
      </c>
      <c r="F50" s="3">
        <v>1.4</v>
      </c>
      <c r="G50" s="3">
        <v>73</v>
      </c>
      <c r="H50" s="16">
        <f>I50*(100+5)/G50</f>
        <v>266.09589041095893</v>
      </c>
      <c r="I50" s="3">
        <v>185</v>
      </c>
      <c r="J50" s="17">
        <f>1/(I50/(10*G50))</f>
        <v>3.9459459459459456</v>
      </c>
      <c r="K50" s="3">
        <v>30</v>
      </c>
      <c r="L50" s="17">
        <f>J50-(J50/100*K50)</f>
        <v>2.7621621621621619</v>
      </c>
      <c r="M50" s="8">
        <v>1300</v>
      </c>
      <c r="N50" s="8">
        <f>F50*M50</f>
        <v>1819.9999999999998</v>
      </c>
      <c r="O50" s="9">
        <f>B50/L50</f>
        <v>3.2583170254403133</v>
      </c>
      <c r="P50" s="9">
        <f>F50*O50</f>
        <v>4.5616438356164384</v>
      </c>
      <c r="Q50" s="18">
        <f>P50*M50</f>
        <v>5930.1369863013697</v>
      </c>
    </row>
    <row r="51" spans="2:23" ht="15.75" x14ac:dyDescent="0.25">
      <c r="B51" s="3">
        <v>9</v>
      </c>
      <c r="C51" s="12" t="s">
        <v>43</v>
      </c>
      <c r="D51" s="12" t="s">
        <v>32</v>
      </c>
      <c r="E51" s="19">
        <v>7047</v>
      </c>
      <c r="F51" s="3">
        <v>1.3</v>
      </c>
      <c r="G51" s="3">
        <v>58</v>
      </c>
      <c r="H51" s="16">
        <f>I51*100/G51</f>
        <v>103.44827586206897</v>
      </c>
      <c r="I51" s="3">
        <v>60</v>
      </c>
      <c r="J51" s="17">
        <f>1/(I51/(10*G51))</f>
        <v>9.6666666666666661</v>
      </c>
      <c r="K51" s="3">
        <v>30</v>
      </c>
      <c r="L51" s="17">
        <f>J51-(J51/100*K51)</f>
        <v>6.7666666666666657</v>
      </c>
      <c r="M51" s="8">
        <v>700</v>
      </c>
      <c r="N51" s="8">
        <f>F51*M51</f>
        <v>910</v>
      </c>
      <c r="O51" s="9">
        <f>B51/L51</f>
        <v>1.330049261083744</v>
      </c>
      <c r="P51" s="9">
        <f>F51*O51</f>
        <v>1.7290640394088672</v>
      </c>
      <c r="Q51" s="18">
        <f>P51*M51</f>
        <v>1210.344827586207</v>
      </c>
    </row>
    <row r="52" spans="2:23" ht="15.75" x14ac:dyDescent="0.25">
      <c r="B52" s="3"/>
      <c r="C52" s="335" t="s">
        <v>35</v>
      </c>
      <c r="D52" s="335"/>
      <c r="E52" s="335"/>
      <c r="F52" s="335"/>
      <c r="G52" s="335"/>
      <c r="H52" s="335"/>
      <c r="I52" s="3">
        <f>SUM(I50:I51)</f>
        <v>245</v>
      </c>
      <c r="J52" s="274" t="s">
        <v>223</v>
      </c>
      <c r="K52" s="274"/>
      <c r="L52" s="274"/>
      <c r="M52" s="274"/>
      <c r="N52" s="274"/>
      <c r="O52" s="274"/>
      <c r="P52" s="274"/>
      <c r="Q52" s="96">
        <f>SUM(Q50:Q51)</f>
        <v>7140.4818138875762</v>
      </c>
    </row>
    <row r="53" spans="2:23" ht="18.75" x14ac:dyDescent="0.25">
      <c r="B53" s="339" t="s">
        <v>221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</row>
    <row r="54" spans="2:23" x14ac:dyDescent="0.25">
      <c r="B54" s="340" t="s">
        <v>197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</row>
    <row r="55" spans="2:23" ht="15.75" thickBot="1" x14ac:dyDescent="0.3">
      <c r="B55" s="340" t="s">
        <v>195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</row>
    <row r="56" spans="2:23" ht="15.75" x14ac:dyDescent="0.25">
      <c r="B56" s="317" t="s">
        <v>0</v>
      </c>
      <c r="C56" s="324" t="s">
        <v>1</v>
      </c>
      <c r="D56" s="324" t="s">
        <v>2</v>
      </c>
      <c r="E56" s="324" t="s">
        <v>3</v>
      </c>
      <c r="F56" s="324" t="s">
        <v>4</v>
      </c>
      <c r="G56" s="324" t="s">
        <v>5</v>
      </c>
      <c r="H56" s="324" t="s">
        <v>6</v>
      </c>
      <c r="I56" s="324"/>
      <c r="J56" s="324" t="s">
        <v>7</v>
      </c>
      <c r="K56" s="324"/>
      <c r="L56" s="324"/>
      <c r="M56" s="324" t="s">
        <v>8</v>
      </c>
      <c r="N56" s="286" t="s">
        <v>9</v>
      </c>
      <c r="O56" s="286" t="s">
        <v>10</v>
      </c>
      <c r="P56" s="286" t="s">
        <v>11</v>
      </c>
      <c r="Q56" s="286" t="s">
        <v>196</v>
      </c>
    </row>
    <row r="57" spans="2:23" x14ac:dyDescent="0.25">
      <c r="B57" s="318"/>
      <c r="C57" s="322"/>
      <c r="D57" s="322"/>
      <c r="E57" s="322"/>
      <c r="F57" s="322"/>
      <c r="G57" s="322"/>
      <c r="H57" s="322" t="s">
        <v>13</v>
      </c>
      <c r="I57" s="322" t="s">
        <v>14</v>
      </c>
      <c r="J57" s="322" t="s">
        <v>15</v>
      </c>
      <c r="K57" s="322" t="s">
        <v>16</v>
      </c>
      <c r="L57" s="322" t="s">
        <v>17</v>
      </c>
      <c r="M57" s="322"/>
      <c r="N57" s="278"/>
      <c r="O57" s="278"/>
      <c r="P57" s="278"/>
      <c r="Q57" s="278"/>
    </row>
    <row r="58" spans="2:23" x14ac:dyDescent="0.25">
      <c r="B58" s="318"/>
      <c r="C58" s="322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278"/>
      <c r="O58" s="278"/>
      <c r="P58" s="278"/>
      <c r="Q58" s="278"/>
    </row>
    <row r="59" spans="2:23" ht="15.75" x14ac:dyDescent="0.25">
      <c r="B59" s="20" t="s">
        <v>18</v>
      </c>
      <c r="C59" s="2" t="s">
        <v>19</v>
      </c>
      <c r="D59" s="2"/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23</v>
      </c>
      <c r="J59" s="2" t="s">
        <v>24</v>
      </c>
      <c r="K59" s="2" t="s">
        <v>22</v>
      </c>
      <c r="L59" s="2" t="s">
        <v>24</v>
      </c>
      <c r="M59" s="2" t="s">
        <v>25</v>
      </c>
      <c r="N59" s="3" t="s">
        <v>25</v>
      </c>
      <c r="O59" s="3" t="s">
        <v>26</v>
      </c>
      <c r="P59" s="3" t="s">
        <v>27</v>
      </c>
      <c r="Q59" s="3" t="s">
        <v>27</v>
      </c>
    </row>
    <row r="60" spans="2:23" ht="15.75" x14ac:dyDescent="0.25">
      <c r="B60" s="20">
        <v>1</v>
      </c>
      <c r="C60" s="4" t="s">
        <v>198</v>
      </c>
      <c r="D60" s="4" t="s">
        <v>29</v>
      </c>
      <c r="E60" s="2"/>
      <c r="F60" s="2">
        <v>1</v>
      </c>
      <c r="G60" s="2">
        <v>83.4</v>
      </c>
      <c r="H60" s="5">
        <f>I60*100/G60</f>
        <v>1918.4652278177457</v>
      </c>
      <c r="I60" s="2">
        <v>1600</v>
      </c>
      <c r="J60" s="6">
        <f>1/(I60/(10*G60))</f>
        <v>0.52124999999999999</v>
      </c>
      <c r="K60" s="2">
        <v>30</v>
      </c>
      <c r="L60" s="6">
        <f>J60-(J60/100*K60)</f>
        <v>0.36487499999999995</v>
      </c>
      <c r="M60" s="7">
        <v>831</v>
      </c>
      <c r="N60" s="8">
        <v>831</v>
      </c>
      <c r="O60" s="8">
        <f>B60/L60</f>
        <v>2.7406646111682087</v>
      </c>
      <c r="P60" s="8">
        <v>1.764</v>
      </c>
      <c r="Q60" s="84">
        <f>B60/L60*F60</f>
        <v>2.7406646111682087</v>
      </c>
    </row>
    <row r="61" spans="2:23" ht="14.45" customHeight="1" thickBot="1" x14ac:dyDescent="0.3">
      <c r="B61" s="23"/>
      <c r="C61" s="323" t="s">
        <v>35</v>
      </c>
      <c r="D61" s="323"/>
      <c r="E61" s="323"/>
      <c r="F61" s="323"/>
      <c r="G61" s="323"/>
      <c r="H61" s="323"/>
      <c r="I61" s="24">
        <f>SUM(I60:I60)</f>
        <v>1600</v>
      </c>
      <c r="J61" s="323" t="s">
        <v>64</v>
      </c>
      <c r="K61" s="323"/>
      <c r="L61" s="323"/>
      <c r="M61" s="32"/>
      <c r="N61" s="32"/>
      <c r="O61" s="32"/>
      <c r="P61" s="33">
        <f>P60</f>
        <v>1.764</v>
      </c>
      <c r="Q61" s="85">
        <f>SUM(Q60)</f>
        <v>2.7406646111682087</v>
      </c>
      <c r="W61" s="14">
        <f>200/10/73</f>
        <v>0.27397260273972601</v>
      </c>
    </row>
    <row r="62" spans="2:23" ht="14.45" customHeight="1" x14ac:dyDescent="0.25"/>
    <row r="64" spans="2:23" x14ac:dyDescent="0.25">
      <c r="B64" s="315" t="s">
        <v>199</v>
      </c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</row>
    <row r="68" spans="2:20" customFormat="1" ht="1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2:20" customFormat="1" ht="14.4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2:20" customFormat="1" ht="14.4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2:20" customForma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>
        <f>50/10/63*1.4</f>
        <v>0.11111111111111109</v>
      </c>
    </row>
    <row r="72" spans="2:20" customFormat="1" x14ac:dyDescent="0.2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2:20" customFormat="1" ht="15.75" x14ac:dyDescent="0.25">
      <c r="B73" s="278" t="s">
        <v>220</v>
      </c>
      <c r="C73" s="278" t="s">
        <v>1</v>
      </c>
      <c r="D73" s="278" t="s">
        <v>2</v>
      </c>
      <c r="E73" s="278" t="s">
        <v>3</v>
      </c>
      <c r="F73" s="278" t="s">
        <v>4</v>
      </c>
      <c r="G73" s="278" t="s">
        <v>5</v>
      </c>
      <c r="H73" s="278" t="s">
        <v>6</v>
      </c>
      <c r="I73" s="278"/>
      <c r="J73" s="278"/>
      <c r="K73" s="278"/>
      <c r="L73" s="278"/>
      <c r="M73" s="278" t="s">
        <v>8</v>
      </c>
      <c r="N73" s="278" t="s">
        <v>9</v>
      </c>
      <c r="O73" s="278" t="s">
        <v>10</v>
      </c>
      <c r="P73" s="278" t="s">
        <v>10</v>
      </c>
      <c r="Q73" s="338" t="s">
        <v>12</v>
      </c>
      <c r="T73">
        <f>O74/O86</f>
        <v>0</v>
      </c>
    </row>
    <row r="74" spans="2:20" customFormat="1" hidden="1" x14ac:dyDescent="0.25">
      <c r="B74" s="278"/>
      <c r="C74" s="278"/>
      <c r="D74" s="278"/>
      <c r="E74" s="278"/>
      <c r="F74" s="278"/>
      <c r="G74" s="278"/>
      <c r="H74" s="278" t="s">
        <v>13</v>
      </c>
      <c r="I74" s="278" t="s">
        <v>14</v>
      </c>
      <c r="J74" s="278" t="s">
        <v>15</v>
      </c>
      <c r="K74" s="278" t="s">
        <v>16</v>
      </c>
      <c r="L74" s="278" t="s">
        <v>17</v>
      </c>
      <c r="M74" s="278"/>
      <c r="N74" s="278"/>
      <c r="O74" s="278"/>
      <c r="P74" s="278"/>
      <c r="Q74" s="338"/>
    </row>
    <row r="75" spans="2:20" customFormat="1" x14ac:dyDescent="0.25"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8"/>
      <c r="O75" s="278"/>
      <c r="P75" s="278"/>
      <c r="Q75" s="338"/>
    </row>
    <row r="76" spans="2:20" ht="15.75" x14ac:dyDescent="0.25">
      <c r="B76" s="3" t="s">
        <v>18</v>
      </c>
      <c r="C76" s="3" t="s">
        <v>19</v>
      </c>
      <c r="D76" s="3"/>
      <c r="E76" s="3" t="s">
        <v>20</v>
      </c>
      <c r="F76" s="3" t="s">
        <v>21</v>
      </c>
      <c r="G76" s="3" t="s">
        <v>22</v>
      </c>
      <c r="H76" s="3" t="s">
        <v>23</v>
      </c>
      <c r="I76" s="3" t="s">
        <v>23</v>
      </c>
      <c r="J76" s="3" t="s">
        <v>24</v>
      </c>
      <c r="K76" s="3" t="s">
        <v>22</v>
      </c>
      <c r="L76" s="3" t="s">
        <v>24</v>
      </c>
      <c r="M76" s="3" t="s">
        <v>25</v>
      </c>
      <c r="N76" s="3" t="s">
        <v>25</v>
      </c>
      <c r="O76" s="3" t="s">
        <v>26</v>
      </c>
      <c r="P76" s="3" t="s">
        <v>27</v>
      </c>
      <c r="Q76" s="3" t="s">
        <v>28</v>
      </c>
    </row>
    <row r="77" spans="2:20" ht="15.75" x14ac:dyDescent="0.25">
      <c r="B77" s="3">
        <v>1</v>
      </c>
      <c r="C77" s="12" t="s">
        <v>42</v>
      </c>
      <c r="D77" s="12" t="s">
        <v>29</v>
      </c>
      <c r="E77" s="3" t="s">
        <v>30</v>
      </c>
      <c r="F77" s="3">
        <v>1.4</v>
      </c>
      <c r="G77" s="3">
        <v>73</v>
      </c>
      <c r="H77" s="16">
        <f>I77*(100)/G77</f>
        <v>109.58904109589041</v>
      </c>
      <c r="I77" s="3">
        <v>80</v>
      </c>
      <c r="J77" s="17">
        <f>1/(I77/(10*G77))</f>
        <v>9.125</v>
      </c>
      <c r="K77" s="3">
        <v>0</v>
      </c>
      <c r="L77" s="17">
        <f>J77-(J77/100*K77)</f>
        <v>9.125</v>
      </c>
      <c r="M77" s="8">
        <v>456</v>
      </c>
      <c r="N77" s="8">
        <f>F77*M77</f>
        <v>638.4</v>
      </c>
      <c r="O77" s="9">
        <f>B77/L77</f>
        <v>0.1095890410958904</v>
      </c>
      <c r="P77" s="9">
        <f>F77*O77</f>
        <v>0.15342465753424656</v>
      </c>
      <c r="Q77" s="18">
        <f>P77*M77</f>
        <v>69.961643835616428</v>
      </c>
    </row>
    <row r="78" spans="2:20" ht="15.75" x14ac:dyDescent="0.25">
      <c r="B78" s="113">
        <v>1</v>
      </c>
      <c r="C78" s="12" t="s">
        <v>43</v>
      </c>
      <c r="D78" s="12" t="s">
        <v>32</v>
      </c>
      <c r="E78" s="19" t="s">
        <v>30</v>
      </c>
      <c r="F78" s="3">
        <v>1.3</v>
      </c>
      <c r="G78" s="3">
        <v>58</v>
      </c>
      <c r="H78" s="16">
        <f>I78*100/G78</f>
        <v>86.206896551724142</v>
      </c>
      <c r="I78" s="3">
        <v>50</v>
      </c>
      <c r="J78" s="17">
        <f>1/(I78/(10*G78))</f>
        <v>11.6</v>
      </c>
      <c r="K78" s="3">
        <v>0</v>
      </c>
      <c r="L78" s="17">
        <f>J78-(J78/100*K78)</f>
        <v>11.6</v>
      </c>
      <c r="M78" s="8">
        <v>642</v>
      </c>
      <c r="N78" s="8">
        <f>F78*M78</f>
        <v>834.6</v>
      </c>
      <c r="O78" s="9">
        <f>B78/L78</f>
        <v>8.6206896551724144E-2</v>
      </c>
      <c r="P78" s="9">
        <f>F78*O78</f>
        <v>0.1120689655172414</v>
      </c>
      <c r="Q78" s="18">
        <f>P78*M78</f>
        <v>71.948275862068982</v>
      </c>
    </row>
    <row r="79" spans="2:20" ht="15.75" x14ac:dyDescent="0.25">
      <c r="B79" s="3"/>
      <c r="C79" s="335" t="s">
        <v>35</v>
      </c>
      <c r="D79" s="335"/>
      <c r="E79" s="335"/>
      <c r="F79" s="335"/>
      <c r="G79" s="335"/>
      <c r="H79" s="335"/>
      <c r="I79" s="3">
        <f>SUM(I77:I78)</f>
        <v>130</v>
      </c>
      <c r="J79" s="344" t="s">
        <v>223</v>
      </c>
      <c r="K79" s="301"/>
      <c r="L79" s="301"/>
      <c r="M79" s="301"/>
      <c r="N79" s="345"/>
      <c r="O79" s="120"/>
      <c r="P79" s="120"/>
      <c r="Q79" s="96">
        <f>SUM(Q77:Q78)</f>
        <v>141.90991969768541</v>
      </c>
    </row>
    <row r="81" spans="2:20" ht="15.75" x14ac:dyDescent="0.25">
      <c r="B81" s="326" t="s">
        <v>0</v>
      </c>
      <c r="C81" s="326" t="s">
        <v>1</v>
      </c>
      <c r="D81" s="326" t="s">
        <v>2</v>
      </c>
      <c r="E81" s="326" t="s">
        <v>3</v>
      </c>
      <c r="F81" s="326" t="s">
        <v>4</v>
      </c>
      <c r="G81" s="326" t="s">
        <v>5</v>
      </c>
      <c r="H81" s="329" t="s">
        <v>6</v>
      </c>
      <c r="I81" s="330"/>
      <c r="J81" s="329" t="s">
        <v>7</v>
      </c>
      <c r="K81" s="331"/>
      <c r="L81" s="330"/>
      <c r="M81" s="326" t="s">
        <v>8</v>
      </c>
      <c r="N81" s="332" t="s">
        <v>9</v>
      </c>
      <c r="O81" s="278" t="s">
        <v>10</v>
      </c>
      <c r="P81" s="278" t="s">
        <v>10</v>
      </c>
      <c r="Q81" s="319" t="s">
        <v>12</v>
      </c>
    </row>
    <row r="82" spans="2:20" x14ac:dyDescent="0.25">
      <c r="B82" s="327"/>
      <c r="C82" s="327"/>
      <c r="D82" s="327"/>
      <c r="E82" s="327"/>
      <c r="F82" s="327"/>
      <c r="G82" s="327"/>
      <c r="H82" s="326" t="s">
        <v>13</v>
      </c>
      <c r="I82" s="326" t="s">
        <v>14</v>
      </c>
      <c r="J82" s="326" t="s">
        <v>15</v>
      </c>
      <c r="K82" s="326" t="s">
        <v>16</v>
      </c>
      <c r="L82" s="326" t="s">
        <v>17</v>
      </c>
      <c r="M82" s="327"/>
      <c r="N82" s="333"/>
      <c r="O82" s="278"/>
      <c r="P82" s="278"/>
      <c r="Q82" s="320"/>
    </row>
    <row r="83" spans="2:20" x14ac:dyDescent="0.25"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34"/>
      <c r="O83" s="278"/>
      <c r="P83" s="278"/>
      <c r="Q83" s="321"/>
    </row>
    <row r="84" spans="2:20" ht="15.75" x14ac:dyDescent="0.25">
      <c r="B84" s="114" t="s">
        <v>18</v>
      </c>
      <c r="C84" s="114" t="s">
        <v>19</v>
      </c>
      <c r="D84" s="114"/>
      <c r="E84" s="114" t="s">
        <v>20</v>
      </c>
      <c r="F84" s="114" t="s">
        <v>21</v>
      </c>
      <c r="G84" s="114" t="s">
        <v>22</v>
      </c>
      <c r="H84" s="114" t="s">
        <v>23</v>
      </c>
      <c r="I84" s="114" t="s">
        <v>23</v>
      </c>
      <c r="J84" s="114" t="s">
        <v>24</v>
      </c>
      <c r="K84" s="114" t="s">
        <v>22</v>
      </c>
      <c r="L84" s="114" t="s">
        <v>24</v>
      </c>
      <c r="M84" s="114" t="s">
        <v>25</v>
      </c>
      <c r="N84" s="113" t="s">
        <v>25</v>
      </c>
      <c r="O84" s="113" t="s">
        <v>26</v>
      </c>
      <c r="P84" s="113" t="s">
        <v>27</v>
      </c>
      <c r="Q84" s="114" t="s">
        <v>28</v>
      </c>
    </row>
    <row r="85" spans="2:20" ht="31.5" x14ac:dyDescent="0.25">
      <c r="B85" s="114">
        <v>1</v>
      </c>
      <c r="C85" s="4" t="s">
        <v>126</v>
      </c>
      <c r="D85" s="4" t="s">
        <v>134</v>
      </c>
      <c r="E85" s="114" t="s">
        <v>30</v>
      </c>
      <c r="F85" s="114">
        <v>1.57</v>
      </c>
      <c r="G85" s="114">
        <v>63</v>
      </c>
      <c r="H85" s="5">
        <f>I85*100/G85</f>
        <v>158.73015873015873</v>
      </c>
      <c r="I85" s="114">
        <v>100</v>
      </c>
      <c r="J85" s="6">
        <f>1/(I85/(10*G85))</f>
        <v>6.3000000000000007</v>
      </c>
      <c r="K85" s="114">
        <v>0</v>
      </c>
      <c r="L85" s="6">
        <f>J85-(J85/100*K85)</f>
        <v>6.3000000000000007</v>
      </c>
      <c r="M85" s="7">
        <f>N85/F85</f>
        <v>815.28662420382159</v>
      </c>
      <c r="N85" s="8">
        <v>1280</v>
      </c>
      <c r="O85" s="9">
        <f>B85/L85</f>
        <v>0.15873015873015872</v>
      </c>
      <c r="P85" s="8">
        <f>F85*O85</f>
        <v>0.24920634920634921</v>
      </c>
      <c r="Q85" s="10">
        <f>O85*N85</f>
        <v>203.17460317460316</v>
      </c>
    </row>
    <row r="86" spans="2:20" ht="15.75" x14ac:dyDescent="0.25">
      <c r="B86" s="114">
        <v>1</v>
      </c>
      <c r="C86" s="4" t="s">
        <v>31</v>
      </c>
      <c r="D86" s="4" t="s">
        <v>32</v>
      </c>
      <c r="E86" s="11" t="s">
        <v>30</v>
      </c>
      <c r="F86" s="114">
        <v>1.4</v>
      </c>
      <c r="G86" s="114">
        <v>63</v>
      </c>
      <c r="H86" s="5">
        <f>I86*100/G86</f>
        <v>79.365079365079367</v>
      </c>
      <c r="I86" s="114">
        <v>50</v>
      </c>
      <c r="J86" s="6">
        <f>1/(I86/(10*G86))</f>
        <v>12.600000000000001</v>
      </c>
      <c r="K86" s="114">
        <v>0</v>
      </c>
      <c r="L86" s="6">
        <f>J86-(J86/100*K86)</f>
        <v>12.600000000000001</v>
      </c>
      <c r="M86" s="7">
        <f>N86/1.4</f>
        <v>876.57142857142867</v>
      </c>
      <c r="N86" s="8">
        <f>944*1.3</f>
        <v>1227.2</v>
      </c>
      <c r="O86" s="9">
        <f>B86/L86</f>
        <v>7.9365079365079361E-2</v>
      </c>
      <c r="P86" s="9">
        <f>F86*O86</f>
        <v>0.11111111111111109</v>
      </c>
      <c r="Q86" s="10">
        <f>O86*N86</f>
        <v>97.396825396825392</v>
      </c>
    </row>
    <row r="87" spans="2:20" ht="15.75" x14ac:dyDescent="0.25">
      <c r="B87" s="283" t="s">
        <v>33</v>
      </c>
      <c r="C87" s="284"/>
      <c r="D87" s="284"/>
      <c r="E87" s="285"/>
      <c r="F87" s="114">
        <v>0.9</v>
      </c>
      <c r="G87" s="283">
        <v>5</v>
      </c>
      <c r="H87" s="284"/>
      <c r="I87" s="284"/>
      <c r="J87" s="285"/>
      <c r="K87" s="114"/>
      <c r="L87" s="114"/>
      <c r="M87" s="4">
        <v>0</v>
      </c>
      <c r="N87" s="12">
        <v>0</v>
      </c>
      <c r="O87" s="13">
        <f>O86*(G87/100)</f>
        <v>3.968253968253968E-3</v>
      </c>
      <c r="P87" s="9">
        <f>F87*O87</f>
        <v>3.5714285714285713E-3</v>
      </c>
      <c r="Q87" s="10">
        <f>O87*M87</f>
        <v>0</v>
      </c>
    </row>
    <row r="88" spans="2:20" ht="15.75" x14ac:dyDescent="0.25">
      <c r="B88" s="114"/>
      <c r="C88" s="283" t="s">
        <v>35</v>
      </c>
      <c r="D88" s="284"/>
      <c r="E88" s="284"/>
      <c r="F88" s="284"/>
      <c r="G88" s="284"/>
      <c r="H88" s="285"/>
      <c r="I88" s="114">
        <f>SUM(I85:I86)</f>
        <v>150</v>
      </c>
      <c r="J88" s="121"/>
      <c r="K88" s="122"/>
      <c r="L88" s="122"/>
      <c r="M88" s="122"/>
      <c r="N88" s="122"/>
      <c r="O88" s="122"/>
      <c r="P88" s="123"/>
      <c r="Q88" s="10">
        <f>SUM(Q85:Q87)</f>
        <v>300.57142857142856</v>
      </c>
    </row>
    <row r="89" spans="2:20" x14ac:dyDescent="0.25">
      <c r="T89" s="14">
        <f>79/O101</f>
        <v>1</v>
      </c>
    </row>
    <row r="92" spans="2:20" x14ac:dyDescent="0.25">
      <c r="T92" s="14">
        <v>829.5</v>
      </c>
    </row>
    <row r="93" spans="2:20" ht="216" customHeight="1" x14ac:dyDescent="0.25"/>
    <row r="94" spans="2:20" ht="41.25" customHeight="1" x14ac:dyDescent="0.25"/>
    <row r="95" spans="2:20" ht="30" customHeight="1" x14ac:dyDescent="0.25">
      <c r="B95" s="325" t="s">
        <v>155</v>
      </c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</row>
    <row r="96" spans="2:20" ht="15.75" x14ac:dyDescent="0.25">
      <c r="B96" s="326" t="s">
        <v>0</v>
      </c>
      <c r="C96" s="326" t="s">
        <v>1</v>
      </c>
      <c r="D96" s="326" t="s">
        <v>2</v>
      </c>
      <c r="E96" s="326" t="s">
        <v>3</v>
      </c>
      <c r="F96" s="326" t="s">
        <v>4</v>
      </c>
      <c r="G96" s="326" t="s">
        <v>5</v>
      </c>
      <c r="H96" s="329" t="s">
        <v>6</v>
      </c>
      <c r="I96" s="330"/>
      <c r="J96" s="329" t="s">
        <v>7</v>
      </c>
      <c r="K96" s="331"/>
      <c r="L96" s="330"/>
      <c r="M96" s="326" t="s">
        <v>8</v>
      </c>
      <c r="N96" s="332" t="s">
        <v>9</v>
      </c>
      <c r="O96" s="332" t="s">
        <v>156</v>
      </c>
      <c r="P96" s="332" t="s">
        <v>156</v>
      </c>
      <c r="Q96" s="319" t="s">
        <v>12</v>
      </c>
    </row>
    <row r="97" spans="2:23" x14ac:dyDescent="0.25">
      <c r="B97" s="327"/>
      <c r="C97" s="327"/>
      <c r="D97" s="327"/>
      <c r="E97" s="327"/>
      <c r="F97" s="327"/>
      <c r="G97" s="327"/>
      <c r="H97" s="326" t="s">
        <v>13</v>
      </c>
      <c r="I97" s="326" t="s">
        <v>14</v>
      </c>
      <c r="J97" s="326" t="s">
        <v>15</v>
      </c>
      <c r="K97" s="326" t="s">
        <v>16</v>
      </c>
      <c r="L97" s="326" t="s">
        <v>17</v>
      </c>
      <c r="M97" s="327"/>
      <c r="N97" s="333"/>
      <c r="O97" s="333"/>
      <c r="P97" s="333"/>
      <c r="Q97" s="320"/>
    </row>
    <row r="98" spans="2:23" x14ac:dyDescent="0.25"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34"/>
      <c r="O98" s="334"/>
      <c r="P98" s="334"/>
      <c r="Q98" s="321"/>
    </row>
    <row r="99" spans="2:23" ht="21.75" customHeight="1" x14ac:dyDescent="0.25">
      <c r="B99" s="2" t="s">
        <v>18</v>
      </c>
      <c r="C99" s="2" t="s">
        <v>19</v>
      </c>
      <c r="D99" s="2"/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23</v>
      </c>
      <c r="J99" s="2" t="s">
        <v>24</v>
      </c>
      <c r="K99" s="2" t="s">
        <v>22</v>
      </c>
      <c r="L99" s="2" t="s">
        <v>24</v>
      </c>
      <c r="M99" s="2" t="s">
        <v>25</v>
      </c>
      <c r="N99" s="3" t="s">
        <v>25</v>
      </c>
      <c r="O99" s="3" t="s">
        <v>26</v>
      </c>
      <c r="P99" s="3" t="s">
        <v>27</v>
      </c>
      <c r="Q99" s="2" t="s">
        <v>28</v>
      </c>
    </row>
    <row r="100" spans="2:23" ht="15.75" x14ac:dyDescent="0.25">
      <c r="B100" s="2">
        <v>1</v>
      </c>
      <c r="C100" s="4" t="s">
        <v>65</v>
      </c>
      <c r="D100" s="4" t="s">
        <v>29</v>
      </c>
      <c r="E100" s="2" t="s">
        <v>30</v>
      </c>
      <c r="F100" s="2">
        <v>1.6</v>
      </c>
      <c r="G100" s="2">
        <v>74</v>
      </c>
      <c r="H100" s="5">
        <f>I100*100/G100</f>
        <v>189.18918918918919</v>
      </c>
      <c r="I100" s="2">
        <v>140</v>
      </c>
      <c r="J100" s="6">
        <f>1/(I100/(10*G100))</f>
        <v>5.2857142857142856</v>
      </c>
      <c r="K100" s="2">
        <v>0</v>
      </c>
      <c r="L100" s="6">
        <f>J100-(J100/100*K100)</f>
        <v>5.2857142857142856</v>
      </c>
      <c r="M100" s="7">
        <f>N100/1.6</f>
        <v>540.625</v>
      </c>
      <c r="N100" s="8">
        <v>865</v>
      </c>
      <c r="O100" s="9">
        <f>B100/L100</f>
        <v>0.1891891891891892</v>
      </c>
      <c r="P100" s="8">
        <f>F100*O100</f>
        <v>0.30270270270270272</v>
      </c>
      <c r="Q100" s="10">
        <f>O100*N100</f>
        <v>163.64864864864865</v>
      </c>
    </row>
    <row r="101" spans="2:23" ht="15.75" x14ac:dyDescent="0.25">
      <c r="B101" s="14">
        <v>829.5</v>
      </c>
      <c r="C101" s="4" t="s">
        <v>31</v>
      </c>
      <c r="D101" s="4" t="s">
        <v>32</v>
      </c>
      <c r="E101" s="11">
        <v>1021</v>
      </c>
      <c r="F101" s="2">
        <v>1.4</v>
      </c>
      <c r="G101" s="2">
        <v>63</v>
      </c>
      <c r="H101" s="5">
        <f>I101*100/G101</f>
        <v>95.238095238095241</v>
      </c>
      <c r="I101" s="2">
        <v>60</v>
      </c>
      <c r="J101" s="6">
        <f>1/(I101/(10*G101))</f>
        <v>10.5</v>
      </c>
      <c r="K101" s="2">
        <v>0</v>
      </c>
      <c r="L101" s="6">
        <f>J101-(J101/100*K101)</f>
        <v>10.5</v>
      </c>
      <c r="M101" s="7">
        <f>N101/1.4</f>
        <v>922.85714285714289</v>
      </c>
      <c r="N101" s="8">
        <v>1292</v>
      </c>
      <c r="O101" s="9">
        <f>B101/L101</f>
        <v>79</v>
      </c>
      <c r="P101" s="9">
        <f>F101*O101</f>
        <v>110.6</v>
      </c>
      <c r="Q101" s="10">
        <f>O101*N101</f>
        <v>102068</v>
      </c>
      <c r="W101" s="14">
        <f>140/10/85*1.5</f>
        <v>0.24705882352941178</v>
      </c>
    </row>
    <row r="102" spans="2:23" ht="15.75" x14ac:dyDescent="0.25">
      <c r="B102" s="283" t="s">
        <v>33</v>
      </c>
      <c r="C102" s="284"/>
      <c r="D102" s="284"/>
      <c r="E102" s="285"/>
      <c r="F102" s="2">
        <v>0.9</v>
      </c>
      <c r="G102" s="283">
        <v>5</v>
      </c>
      <c r="H102" s="284"/>
      <c r="I102" s="284"/>
      <c r="J102" s="285"/>
      <c r="K102" s="2"/>
      <c r="L102" s="2"/>
      <c r="M102" s="4"/>
      <c r="N102" s="12">
        <v>420</v>
      </c>
      <c r="O102" s="13">
        <f>O100*(G102/100)</f>
        <v>9.45945945945946E-3</v>
      </c>
      <c r="P102" s="9">
        <f>F102*O102</f>
        <v>8.513513513513515E-3</v>
      </c>
      <c r="Q102" s="10">
        <f>O102*N102</f>
        <v>3.9729729729729732</v>
      </c>
      <c r="T102" s="14">
        <f>60/10/58*1.3</f>
        <v>0.13448275862068965</v>
      </c>
    </row>
    <row r="103" spans="2:23" ht="15.75" x14ac:dyDescent="0.25">
      <c r="B103" s="283" t="s">
        <v>34</v>
      </c>
      <c r="C103" s="284"/>
      <c r="D103" s="284"/>
      <c r="E103" s="285"/>
      <c r="F103" s="2">
        <v>0.9</v>
      </c>
      <c r="G103" s="283">
        <v>5</v>
      </c>
      <c r="H103" s="284"/>
      <c r="I103" s="284"/>
      <c r="J103" s="285"/>
      <c r="K103" s="2"/>
      <c r="L103" s="2"/>
      <c r="M103" s="4"/>
      <c r="N103" s="12">
        <v>420</v>
      </c>
      <c r="O103" s="13">
        <f>O101*(G103/100)</f>
        <v>3.95</v>
      </c>
      <c r="P103" s="9">
        <f>F103*O103</f>
        <v>3.5550000000000002</v>
      </c>
      <c r="Q103" s="10">
        <f>O103*N103</f>
        <v>1659</v>
      </c>
    </row>
    <row r="104" spans="2:23" ht="15.75" x14ac:dyDescent="0.25">
      <c r="B104" s="2"/>
      <c r="C104" s="283" t="s">
        <v>35</v>
      </c>
      <c r="D104" s="284"/>
      <c r="E104" s="284"/>
      <c r="F104" s="284"/>
      <c r="G104" s="284"/>
      <c r="H104" s="285"/>
      <c r="I104" s="2">
        <f>SUM(I100:I101)</f>
        <v>200</v>
      </c>
      <c r="J104" s="283"/>
      <c r="K104" s="284"/>
      <c r="L104" s="284"/>
      <c r="M104" s="284"/>
      <c r="N104" s="284"/>
      <c r="O104" s="284"/>
      <c r="P104" s="285"/>
      <c r="Q104" s="10">
        <f>SUM(Q100:Q103)</f>
        <v>103894.62162162163</v>
      </c>
    </row>
    <row r="105" spans="2:23" ht="15" customHeight="1" thickBot="1" x14ac:dyDescent="0.3"/>
    <row r="106" spans="2:23" ht="15" customHeight="1" x14ac:dyDescent="0.25"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0"/>
    </row>
    <row r="107" spans="2:23" ht="22.5" customHeight="1" thickBot="1" x14ac:dyDescent="0.3">
      <c r="B107" s="294" t="s">
        <v>380</v>
      </c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6"/>
    </row>
    <row r="108" spans="2:23" ht="15.75" thickBot="1" x14ac:dyDescent="0.3">
      <c r="B108" s="297" t="s">
        <v>379</v>
      </c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9"/>
    </row>
    <row r="109" spans="2:23" ht="15.75" x14ac:dyDescent="0.25">
      <c r="B109" s="290" t="s">
        <v>220</v>
      </c>
      <c r="C109" s="286" t="s">
        <v>1</v>
      </c>
      <c r="D109" s="286" t="s">
        <v>2</v>
      </c>
      <c r="E109" s="286" t="s">
        <v>3</v>
      </c>
      <c r="F109" s="286" t="s">
        <v>4</v>
      </c>
      <c r="G109" s="286" t="s">
        <v>5</v>
      </c>
      <c r="H109" s="286" t="s">
        <v>6</v>
      </c>
      <c r="I109" s="286"/>
      <c r="J109" s="286"/>
      <c r="K109" s="286"/>
      <c r="L109" s="286"/>
      <c r="M109" s="286" t="s">
        <v>8</v>
      </c>
      <c r="N109" s="286" t="s">
        <v>9</v>
      </c>
      <c r="O109" s="286" t="s">
        <v>10</v>
      </c>
      <c r="P109" s="286" t="s">
        <v>378</v>
      </c>
      <c r="Q109" s="293" t="s">
        <v>12</v>
      </c>
    </row>
    <row r="110" spans="2:23" x14ac:dyDescent="0.25">
      <c r="B110" s="279"/>
      <c r="C110" s="278"/>
      <c r="D110" s="278"/>
      <c r="E110" s="278"/>
      <c r="F110" s="278"/>
      <c r="G110" s="278"/>
      <c r="H110" s="278" t="s">
        <v>13</v>
      </c>
      <c r="I110" s="278" t="s">
        <v>381</v>
      </c>
      <c r="J110" s="278" t="s">
        <v>15</v>
      </c>
      <c r="K110" s="278" t="s">
        <v>16</v>
      </c>
      <c r="L110" s="278" t="s">
        <v>17</v>
      </c>
      <c r="M110" s="278"/>
      <c r="N110" s="278"/>
      <c r="O110" s="278"/>
      <c r="P110" s="278"/>
      <c r="Q110" s="277"/>
    </row>
    <row r="111" spans="2:23" x14ac:dyDescent="0.25">
      <c r="B111" s="279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7"/>
    </row>
    <row r="112" spans="2:23" ht="15.75" x14ac:dyDescent="0.25">
      <c r="B112" s="188" t="s">
        <v>18</v>
      </c>
      <c r="C112" s="192" t="s">
        <v>19</v>
      </c>
      <c r="D112" s="192"/>
      <c r="E112" s="192" t="s">
        <v>20</v>
      </c>
      <c r="F112" s="192" t="s">
        <v>21</v>
      </c>
      <c r="G112" s="192" t="s">
        <v>22</v>
      </c>
      <c r="H112" s="192" t="s">
        <v>23</v>
      </c>
      <c r="I112" s="192" t="s">
        <v>23</v>
      </c>
      <c r="J112" s="192" t="s">
        <v>24</v>
      </c>
      <c r="K112" s="192" t="s">
        <v>22</v>
      </c>
      <c r="L112" s="192" t="s">
        <v>24</v>
      </c>
      <c r="M112" s="192" t="s">
        <v>25</v>
      </c>
      <c r="N112" s="192" t="s">
        <v>25</v>
      </c>
      <c r="O112" s="192" t="s">
        <v>26</v>
      </c>
      <c r="P112" s="192" t="s">
        <v>27</v>
      </c>
      <c r="Q112" s="189" t="s">
        <v>28</v>
      </c>
    </row>
    <row r="113" spans="2:17" ht="15.75" x14ac:dyDescent="0.25">
      <c r="B113" s="188">
        <v>1</v>
      </c>
      <c r="C113" s="12" t="s">
        <v>176</v>
      </c>
      <c r="D113" s="12" t="s">
        <v>29</v>
      </c>
      <c r="E113" s="192" t="s">
        <v>30</v>
      </c>
      <c r="F113" s="192">
        <v>1.5</v>
      </c>
      <c r="G113" s="192">
        <v>85</v>
      </c>
      <c r="H113" s="16">
        <f>I113*(100)/G113</f>
        <v>164.70588235294119</v>
      </c>
      <c r="I113" s="192">
        <v>140</v>
      </c>
      <c r="J113" s="17">
        <f>1/(I113/(10*G113))</f>
        <v>6.0714285714285712</v>
      </c>
      <c r="K113" s="192">
        <v>77</v>
      </c>
      <c r="L113" s="17">
        <f>J113-(J113/100*K113)</f>
        <v>1.3964285714285714</v>
      </c>
      <c r="M113" s="8">
        <v>570</v>
      </c>
      <c r="N113" s="8">
        <f>F113*M113</f>
        <v>855</v>
      </c>
      <c r="O113" s="9">
        <f>B113/L113</f>
        <v>0.71611253196930946</v>
      </c>
      <c r="P113" s="9">
        <f>F113*O113</f>
        <v>1.0741687979539642</v>
      </c>
      <c r="Q113" s="190">
        <f>P113*M113</f>
        <v>612.27621483375958</v>
      </c>
    </row>
    <row r="114" spans="2:17" ht="15.75" x14ac:dyDescent="0.25">
      <c r="B114" s="188">
        <v>1</v>
      </c>
      <c r="C114" s="12" t="s">
        <v>43</v>
      </c>
      <c r="D114" s="12" t="s">
        <v>32</v>
      </c>
      <c r="E114" s="19">
        <v>7040</v>
      </c>
      <c r="F114" s="192">
        <v>1.3</v>
      </c>
      <c r="G114" s="192">
        <v>58</v>
      </c>
      <c r="H114" s="16">
        <f>I114*105/G114</f>
        <v>108.62068965517241</v>
      </c>
      <c r="I114" s="192">
        <v>60</v>
      </c>
      <c r="J114" s="17">
        <f>1/(I114/(10*G114))</f>
        <v>9.6666666666666661</v>
      </c>
      <c r="K114" s="192">
        <v>0</v>
      </c>
      <c r="L114" s="17">
        <f>J114-(J114/100*K114)</f>
        <v>9.6666666666666661</v>
      </c>
      <c r="M114" s="8">
        <v>716</v>
      </c>
      <c r="N114" s="8">
        <f>F114*M114</f>
        <v>930.80000000000007</v>
      </c>
      <c r="O114" s="9">
        <f>B114/L114</f>
        <v>0.10344827586206898</v>
      </c>
      <c r="P114" s="9">
        <f>F114*O114</f>
        <v>0.13448275862068967</v>
      </c>
      <c r="Q114" s="190">
        <f>P114*M114</f>
        <v>96.289655172413802</v>
      </c>
    </row>
    <row r="115" spans="2:17" ht="16.5" thickBot="1" x14ac:dyDescent="0.3">
      <c r="B115" s="194"/>
      <c r="C115" s="289" t="s">
        <v>35</v>
      </c>
      <c r="D115" s="289"/>
      <c r="E115" s="289"/>
      <c r="F115" s="289"/>
      <c r="G115" s="289"/>
      <c r="H115" s="289"/>
      <c r="I115" s="195">
        <f>SUM(I113:I114)</f>
        <v>200</v>
      </c>
      <c r="J115" s="292"/>
      <c r="K115" s="292"/>
      <c r="L115" s="292"/>
      <c r="M115" s="292"/>
      <c r="N115" s="292"/>
      <c r="O115" s="292"/>
      <c r="P115" s="292"/>
      <c r="Q115" s="196">
        <f>Q113+Q114</f>
        <v>708.56587000617333</v>
      </c>
    </row>
    <row r="116" spans="2:17" ht="25.5" customHeight="1" thickBot="1" x14ac:dyDescent="0.3"/>
    <row r="117" spans="2:17" ht="27" customHeight="1" x14ac:dyDescent="0.25">
      <c r="B117" s="290" t="s">
        <v>220</v>
      </c>
      <c r="C117" s="286" t="s">
        <v>1</v>
      </c>
      <c r="D117" s="286" t="s">
        <v>2</v>
      </c>
      <c r="E117" s="286" t="s">
        <v>3</v>
      </c>
      <c r="F117" s="286" t="s">
        <v>4</v>
      </c>
      <c r="G117" s="286" t="s">
        <v>5</v>
      </c>
      <c r="H117" s="286" t="s">
        <v>6</v>
      </c>
      <c r="I117" s="286"/>
      <c r="J117" s="286"/>
      <c r="K117" s="286"/>
      <c r="L117" s="286"/>
      <c r="M117" s="286" t="s">
        <v>8</v>
      </c>
      <c r="N117" s="286" t="s">
        <v>9</v>
      </c>
      <c r="O117" s="286" t="s">
        <v>10</v>
      </c>
      <c r="P117" s="286" t="s">
        <v>378</v>
      </c>
      <c r="Q117" s="293" t="s">
        <v>12</v>
      </c>
    </row>
    <row r="118" spans="2:17" ht="21.75" customHeight="1" x14ac:dyDescent="0.25">
      <c r="B118" s="279"/>
      <c r="C118" s="278"/>
      <c r="D118" s="278"/>
      <c r="E118" s="278"/>
      <c r="F118" s="278"/>
      <c r="G118" s="278"/>
      <c r="H118" s="278" t="s">
        <v>13</v>
      </c>
      <c r="I118" s="278" t="s">
        <v>381</v>
      </c>
      <c r="J118" s="278" t="s">
        <v>15</v>
      </c>
      <c r="K118" s="278" t="s">
        <v>16</v>
      </c>
      <c r="L118" s="278" t="s">
        <v>17</v>
      </c>
      <c r="M118" s="278"/>
      <c r="N118" s="278"/>
      <c r="O118" s="278"/>
      <c r="P118" s="278"/>
      <c r="Q118" s="277"/>
    </row>
    <row r="119" spans="2:17" x14ac:dyDescent="0.25">
      <c r="B119" s="279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7"/>
    </row>
    <row r="120" spans="2:17" ht="15.75" x14ac:dyDescent="0.25">
      <c r="B120" s="188" t="s">
        <v>18</v>
      </c>
      <c r="C120" s="192" t="s">
        <v>19</v>
      </c>
      <c r="D120" s="192"/>
      <c r="E120" s="192" t="s">
        <v>20</v>
      </c>
      <c r="F120" s="192" t="s">
        <v>21</v>
      </c>
      <c r="G120" s="192" t="s">
        <v>22</v>
      </c>
      <c r="H120" s="192" t="s">
        <v>23</v>
      </c>
      <c r="I120" s="192" t="s">
        <v>23</v>
      </c>
      <c r="J120" s="192" t="s">
        <v>24</v>
      </c>
      <c r="K120" s="192" t="s">
        <v>22</v>
      </c>
      <c r="L120" s="192" t="s">
        <v>24</v>
      </c>
      <c r="M120" s="192" t="s">
        <v>25</v>
      </c>
      <c r="N120" s="192" t="s">
        <v>25</v>
      </c>
      <c r="O120" s="192" t="s">
        <v>26</v>
      </c>
      <c r="P120" s="192" t="s">
        <v>27</v>
      </c>
      <c r="Q120" s="189" t="s">
        <v>28</v>
      </c>
    </row>
    <row r="121" spans="2:17" ht="15.75" x14ac:dyDescent="0.25">
      <c r="B121" s="188">
        <v>1</v>
      </c>
      <c r="C121" s="12" t="s">
        <v>42</v>
      </c>
      <c r="D121" s="12" t="s">
        <v>29</v>
      </c>
      <c r="E121" s="192" t="s">
        <v>30</v>
      </c>
      <c r="F121" s="192">
        <v>1.4</v>
      </c>
      <c r="G121" s="192">
        <v>73</v>
      </c>
      <c r="H121" s="16">
        <f>I121*(105)/G121</f>
        <v>158.21917808219177</v>
      </c>
      <c r="I121" s="192">
        <v>110</v>
      </c>
      <c r="J121" s="17">
        <f>1/(I121/(10*G121))</f>
        <v>6.6363636363636367</v>
      </c>
      <c r="K121" s="192">
        <v>0</v>
      </c>
      <c r="L121" s="17">
        <f>J121-(J121/100*K121)</f>
        <v>6.6363636363636367</v>
      </c>
      <c r="M121" s="8">
        <v>570</v>
      </c>
      <c r="N121" s="8">
        <f>F121*M121</f>
        <v>798</v>
      </c>
      <c r="O121" s="9">
        <f>B121/L121</f>
        <v>0.15068493150684931</v>
      </c>
      <c r="P121" s="9">
        <f>F121*O121</f>
        <v>0.21095890410958901</v>
      </c>
      <c r="Q121" s="190">
        <f>P121*M121</f>
        <v>120.24657534246573</v>
      </c>
    </row>
    <row r="122" spans="2:17" ht="15.75" x14ac:dyDescent="0.25">
      <c r="B122" s="188">
        <v>1</v>
      </c>
      <c r="C122" s="12" t="s">
        <v>43</v>
      </c>
      <c r="D122" s="12" t="s">
        <v>32</v>
      </c>
      <c r="E122" s="19">
        <v>7040</v>
      </c>
      <c r="F122" s="192">
        <v>1.3</v>
      </c>
      <c r="G122" s="192">
        <v>58</v>
      </c>
      <c r="H122" s="16">
        <f>I122*100/G122</f>
        <v>86.206896551724142</v>
      </c>
      <c r="I122" s="192">
        <v>50</v>
      </c>
      <c r="J122" s="17">
        <f>1/(I122/(10*G122))</f>
        <v>11.6</v>
      </c>
      <c r="K122" s="192">
        <v>0</v>
      </c>
      <c r="L122" s="17">
        <f>J122-(J122/100*K122)</f>
        <v>11.6</v>
      </c>
      <c r="M122" s="8">
        <v>716</v>
      </c>
      <c r="N122" s="8">
        <f>F122*M122</f>
        <v>930.80000000000007</v>
      </c>
      <c r="O122" s="9">
        <f>B122/L122</f>
        <v>8.6206896551724144E-2</v>
      </c>
      <c r="P122" s="9">
        <f>F122*O122</f>
        <v>0.1120689655172414</v>
      </c>
      <c r="Q122" s="190">
        <f>P122*M122</f>
        <v>80.24137931034484</v>
      </c>
    </row>
    <row r="123" spans="2:17" ht="16.5" thickBot="1" x14ac:dyDescent="0.3">
      <c r="B123" s="194"/>
      <c r="C123" s="289" t="s">
        <v>35</v>
      </c>
      <c r="D123" s="289"/>
      <c r="E123" s="289"/>
      <c r="F123" s="289"/>
      <c r="G123" s="289"/>
      <c r="H123" s="289"/>
      <c r="I123" s="195">
        <f>SUM(I121:I122)</f>
        <v>160</v>
      </c>
      <c r="J123" s="292" t="s">
        <v>223</v>
      </c>
      <c r="K123" s="292"/>
      <c r="L123" s="292"/>
      <c r="M123" s="292"/>
      <c r="N123" s="292"/>
      <c r="O123" s="292"/>
      <c r="P123" s="292"/>
      <c r="Q123" s="196">
        <f>Q121+Q122</f>
        <v>200.48795465281057</v>
      </c>
    </row>
    <row r="124" spans="2:17" ht="24" customHeight="1" x14ac:dyDescent="0.25"/>
    <row r="125" spans="2:17" ht="22.5" customHeight="1" thickBot="1" x14ac:dyDescent="0.3"/>
    <row r="126" spans="2:17" ht="24.75" customHeight="1" x14ac:dyDescent="0.25">
      <c r="B126" s="290" t="s">
        <v>220</v>
      </c>
      <c r="C126" s="286" t="s">
        <v>1</v>
      </c>
      <c r="D126" s="286" t="s">
        <v>2</v>
      </c>
      <c r="E126" s="286" t="s">
        <v>3</v>
      </c>
      <c r="F126" s="286" t="s">
        <v>4</v>
      </c>
      <c r="G126" s="286" t="s">
        <v>5</v>
      </c>
      <c r="H126" s="286" t="s">
        <v>6</v>
      </c>
      <c r="I126" s="286"/>
      <c r="J126" s="286"/>
      <c r="K126" s="286"/>
      <c r="L126" s="286"/>
      <c r="M126" s="286" t="s">
        <v>8</v>
      </c>
      <c r="N126" s="286" t="s">
        <v>9</v>
      </c>
      <c r="O126" s="286" t="s">
        <v>10</v>
      </c>
      <c r="P126" s="286" t="s">
        <v>378</v>
      </c>
      <c r="Q126" s="293" t="s">
        <v>12</v>
      </c>
    </row>
    <row r="127" spans="2:17" x14ac:dyDescent="0.25">
      <c r="B127" s="279"/>
      <c r="C127" s="278"/>
      <c r="D127" s="278"/>
      <c r="E127" s="278"/>
      <c r="F127" s="278"/>
      <c r="G127" s="278"/>
      <c r="H127" s="278" t="s">
        <v>13</v>
      </c>
      <c r="I127" s="278" t="s">
        <v>381</v>
      </c>
      <c r="J127" s="278" t="s">
        <v>15</v>
      </c>
      <c r="K127" s="278" t="s">
        <v>16</v>
      </c>
      <c r="L127" s="278" t="s">
        <v>17</v>
      </c>
      <c r="M127" s="278"/>
      <c r="N127" s="278"/>
      <c r="O127" s="278"/>
      <c r="P127" s="278"/>
      <c r="Q127" s="277"/>
    </row>
    <row r="128" spans="2:17" x14ac:dyDescent="0.25">
      <c r="B128" s="279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7"/>
    </row>
    <row r="129" spans="2:19" ht="15.75" x14ac:dyDescent="0.25">
      <c r="B129" s="188" t="s">
        <v>18</v>
      </c>
      <c r="C129" s="193" t="s">
        <v>19</v>
      </c>
      <c r="D129" s="193"/>
      <c r="E129" s="193" t="s">
        <v>20</v>
      </c>
      <c r="F129" s="193" t="s">
        <v>21</v>
      </c>
      <c r="G129" s="193" t="s">
        <v>22</v>
      </c>
      <c r="H129" s="193" t="s">
        <v>23</v>
      </c>
      <c r="I129" s="193" t="s">
        <v>23</v>
      </c>
      <c r="J129" s="193" t="s">
        <v>24</v>
      </c>
      <c r="K129" s="193" t="s">
        <v>22</v>
      </c>
      <c r="L129" s="193" t="s">
        <v>24</v>
      </c>
      <c r="M129" s="193" t="s">
        <v>25</v>
      </c>
      <c r="N129" s="193" t="s">
        <v>25</v>
      </c>
      <c r="O129" s="193" t="s">
        <v>26</v>
      </c>
      <c r="P129" s="193" t="s">
        <v>27</v>
      </c>
      <c r="Q129" s="189" t="s">
        <v>28</v>
      </c>
    </row>
    <row r="130" spans="2:19" ht="15.75" x14ac:dyDescent="0.25">
      <c r="B130" s="188">
        <v>1</v>
      </c>
      <c r="C130" s="12" t="s">
        <v>382</v>
      </c>
      <c r="D130" s="12" t="s">
        <v>172</v>
      </c>
      <c r="E130" s="193">
        <v>7040</v>
      </c>
      <c r="F130" s="193">
        <v>1.3</v>
      </c>
      <c r="G130" s="193">
        <v>50</v>
      </c>
      <c r="H130" s="16">
        <f>I130*(105)/G130</f>
        <v>504</v>
      </c>
      <c r="I130" s="193">
        <v>240</v>
      </c>
      <c r="J130" s="17">
        <f>1/(I130/(10*G130))</f>
        <v>2.0833333333333335</v>
      </c>
      <c r="K130" s="193">
        <v>0</v>
      </c>
      <c r="L130" s="17">
        <f>J130-(J130/100*K130)</f>
        <v>2.0833333333333335</v>
      </c>
      <c r="M130" s="8">
        <v>482</v>
      </c>
      <c r="N130" s="8">
        <f>F130*M130</f>
        <v>626.6</v>
      </c>
      <c r="O130" s="9">
        <f>B130/L130</f>
        <v>0.48</v>
      </c>
      <c r="P130" s="9">
        <f>F130*O130</f>
        <v>0.624</v>
      </c>
      <c r="Q130" s="190">
        <f>P130*M130</f>
        <v>300.76799999999997</v>
      </c>
    </row>
    <row r="131" spans="2:19" ht="16.5" thickBot="1" x14ac:dyDescent="0.3">
      <c r="B131" s="194"/>
      <c r="C131" s="289" t="s">
        <v>35</v>
      </c>
      <c r="D131" s="289"/>
      <c r="E131" s="289"/>
      <c r="F131" s="289"/>
      <c r="G131" s="289"/>
      <c r="H131" s="289"/>
      <c r="I131" s="195">
        <f>SUM(I130:I130)</f>
        <v>240</v>
      </c>
      <c r="J131" s="292" t="s">
        <v>223</v>
      </c>
      <c r="K131" s="292"/>
      <c r="L131" s="292"/>
      <c r="M131" s="292"/>
      <c r="N131" s="292"/>
      <c r="O131" s="292"/>
      <c r="P131" s="292"/>
      <c r="Q131" s="196">
        <f>Q130</f>
        <v>300.76799999999997</v>
      </c>
    </row>
    <row r="132" spans="2:19" x14ac:dyDescent="0.25">
      <c r="D132" s="14">
        <f>20+3.26</f>
        <v>23.259999999999998</v>
      </c>
    </row>
    <row r="133" spans="2:19" ht="15.75" thickBot="1" x14ac:dyDescent="0.3">
      <c r="D133" s="14">
        <f>D132*2</f>
        <v>46.519999999999996</v>
      </c>
    </row>
    <row r="134" spans="2:19" ht="15.75" x14ac:dyDescent="0.25">
      <c r="B134" s="290" t="s">
        <v>220</v>
      </c>
      <c r="C134" s="286" t="s">
        <v>1</v>
      </c>
      <c r="D134" s="286" t="s">
        <v>2</v>
      </c>
      <c r="E134" s="286" t="s">
        <v>3</v>
      </c>
      <c r="F134" s="286" t="s">
        <v>4</v>
      </c>
      <c r="G134" s="286" t="s">
        <v>5</v>
      </c>
      <c r="H134" s="286" t="s">
        <v>6</v>
      </c>
      <c r="I134" s="286"/>
      <c r="J134" s="286"/>
      <c r="K134" s="286"/>
      <c r="L134" s="286"/>
      <c r="M134" s="286" t="s">
        <v>8</v>
      </c>
      <c r="N134" s="286" t="s">
        <v>9</v>
      </c>
      <c r="O134" s="286" t="s">
        <v>10</v>
      </c>
      <c r="P134" s="286" t="s">
        <v>378</v>
      </c>
      <c r="Q134" s="293" t="s">
        <v>12</v>
      </c>
    </row>
    <row r="135" spans="2:19" x14ac:dyDescent="0.25">
      <c r="B135" s="279"/>
      <c r="C135" s="278"/>
      <c r="D135" s="278"/>
      <c r="E135" s="278"/>
      <c r="F135" s="278"/>
      <c r="G135" s="278"/>
      <c r="H135" s="278" t="s">
        <v>13</v>
      </c>
      <c r="I135" s="278" t="s">
        <v>381</v>
      </c>
      <c r="J135" s="278" t="s">
        <v>15</v>
      </c>
      <c r="K135" s="278" t="s">
        <v>16</v>
      </c>
      <c r="L135" s="278" t="s">
        <v>17</v>
      </c>
      <c r="M135" s="278"/>
      <c r="N135" s="278"/>
      <c r="O135" s="278"/>
      <c r="P135" s="278"/>
      <c r="Q135" s="277"/>
    </row>
    <row r="136" spans="2:19" x14ac:dyDescent="0.25">
      <c r="B136" s="279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8"/>
      <c r="O136" s="278"/>
      <c r="P136" s="278"/>
      <c r="Q136" s="277"/>
    </row>
    <row r="137" spans="2:19" ht="15.75" x14ac:dyDescent="0.25">
      <c r="B137" s="188" t="s">
        <v>18</v>
      </c>
      <c r="C137" s="198" t="s">
        <v>19</v>
      </c>
      <c r="D137" s="198"/>
      <c r="E137" s="198" t="s">
        <v>20</v>
      </c>
      <c r="F137" s="198" t="s">
        <v>21</v>
      </c>
      <c r="G137" s="198" t="s">
        <v>22</v>
      </c>
      <c r="H137" s="198" t="s">
        <v>23</v>
      </c>
      <c r="I137" s="198" t="s">
        <v>23</v>
      </c>
      <c r="J137" s="198" t="s">
        <v>24</v>
      </c>
      <c r="K137" s="198" t="s">
        <v>22</v>
      </c>
      <c r="L137" s="198" t="s">
        <v>24</v>
      </c>
      <c r="M137" s="198" t="s">
        <v>25</v>
      </c>
      <c r="N137" s="198" t="s">
        <v>25</v>
      </c>
      <c r="O137" s="198" t="s">
        <v>26</v>
      </c>
      <c r="P137" s="198" t="s">
        <v>27</v>
      </c>
      <c r="Q137" s="189" t="s">
        <v>28</v>
      </c>
    </row>
    <row r="138" spans="2:19" ht="15.75" x14ac:dyDescent="0.25">
      <c r="B138" s="188">
        <v>1</v>
      </c>
      <c r="C138" s="12" t="s">
        <v>383</v>
      </c>
      <c r="D138" s="12" t="s">
        <v>29</v>
      </c>
      <c r="E138" s="198">
        <v>7040</v>
      </c>
      <c r="F138" s="198">
        <v>1.3</v>
      </c>
      <c r="G138" s="198">
        <v>60</v>
      </c>
      <c r="H138" s="16">
        <f>I138*(105)/G138</f>
        <v>157.5</v>
      </c>
      <c r="I138" s="198">
        <v>90</v>
      </c>
      <c r="J138" s="17">
        <f>1/(I138/(10*G138))</f>
        <v>6.666666666666667</v>
      </c>
      <c r="K138" s="198">
        <v>0</v>
      </c>
      <c r="L138" s="17">
        <f>J138-(J138/100*K138)</f>
        <v>6.666666666666667</v>
      </c>
      <c r="M138" s="8">
        <v>727</v>
      </c>
      <c r="N138" s="8">
        <f>F138*M138</f>
        <v>945.1</v>
      </c>
      <c r="O138" s="9">
        <f>B138/L138</f>
        <v>0.15</v>
      </c>
      <c r="P138" s="9">
        <f>F138*O138</f>
        <v>0.19500000000000001</v>
      </c>
      <c r="Q138" s="190">
        <f>P138*M138</f>
        <v>141.76500000000001</v>
      </c>
    </row>
    <row r="139" spans="2:19" ht="15.75" x14ac:dyDescent="0.25">
      <c r="B139" s="188">
        <v>1</v>
      </c>
      <c r="C139" s="12" t="s">
        <v>383</v>
      </c>
      <c r="D139" s="12" t="s">
        <v>29</v>
      </c>
      <c r="E139" s="206">
        <v>7040</v>
      </c>
      <c r="F139" s="206">
        <v>1.3</v>
      </c>
      <c r="G139" s="206">
        <v>60</v>
      </c>
      <c r="H139" s="16">
        <f>I139*(105)/G139</f>
        <v>157.5</v>
      </c>
      <c r="I139" s="206">
        <v>90</v>
      </c>
      <c r="J139" s="17">
        <f>1/(I139/(10*G139))</f>
        <v>6.666666666666667</v>
      </c>
      <c r="K139" s="206">
        <v>0</v>
      </c>
      <c r="L139" s="17">
        <f>J139-(J139/100*K139)</f>
        <v>6.666666666666667</v>
      </c>
      <c r="M139" s="8">
        <v>727</v>
      </c>
      <c r="N139" s="8">
        <f>F139*M139</f>
        <v>945.1</v>
      </c>
      <c r="O139" s="9">
        <f>B139/L139</f>
        <v>0.15</v>
      </c>
      <c r="P139" s="9">
        <f>F139*O139</f>
        <v>0.19500000000000001</v>
      </c>
      <c r="Q139" s="190">
        <f>P139*M139</f>
        <v>141.76500000000001</v>
      </c>
    </row>
    <row r="140" spans="2:19" ht="16.5" thickBot="1" x14ac:dyDescent="0.3">
      <c r="B140" s="194"/>
      <c r="C140" s="289" t="s">
        <v>35</v>
      </c>
      <c r="D140" s="289"/>
      <c r="E140" s="289"/>
      <c r="F140" s="289"/>
      <c r="G140" s="289"/>
      <c r="H140" s="289"/>
      <c r="I140" s="197">
        <f>SUM(I138:I139)</f>
        <v>180</v>
      </c>
      <c r="J140" s="291">
        <f>P138+P139</f>
        <v>0.39</v>
      </c>
      <c r="K140" s="292"/>
      <c r="L140" s="292"/>
      <c r="M140" s="292"/>
      <c r="N140" s="292"/>
      <c r="O140" s="292"/>
      <c r="P140" s="292"/>
      <c r="Q140" s="196">
        <f>Q138+Q139</f>
        <v>283.53000000000003</v>
      </c>
    </row>
    <row r="142" spans="2:19" x14ac:dyDescent="0.25">
      <c r="S142" s="14">
        <f>0.39*727</f>
        <v>283.53000000000003</v>
      </c>
    </row>
    <row r="146" spans="2:16" ht="15.75" thickBot="1" x14ac:dyDescent="0.3"/>
    <row r="147" spans="2:16" ht="15.75" x14ac:dyDescent="0.25">
      <c r="B147" s="290" t="s">
        <v>220</v>
      </c>
      <c r="C147" s="286" t="s">
        <v>1</v>
      </c>
      <c r="D147" s="286" t="s">
        <v>2</v>
      </c>
      <c r="E147" s="286" t="s">
        <v>3</v>
      </c>
      <c r="F147" s="286" t="s">
        <v>4</v>
      </c>
      <c r="G147" s="286" t="s">
        <v>5</v>
      </c>
      <c r="H147" s="286" t="s">
        <v>6</v>
      </c>
      <c r="I147" s="286"/>
      <c r="J147" s="286"/>
      <c r="K147" s="286"/>
      <c r="L147" s="286"/>
      <c r="M147" s="286" t="s">
        <v>8</v>
      </c>
      <c r="N147" s="286" t="s">
        <v>9</v>
      </c>
      <c r="O147" s="286" t="s">
        <v>10</v>
      </c>
      <c r="P147" s="287" t="s">
        <v>378</v>
      </c>
    </row>
    <row r="148" spans="2:16" x14ac:dyDescent="0.25">
      <c r="B148" s="279"/>
      <c r="C148" s="278"/>
      <c r="D148" s="278"/>
      <c r="E148" s="278"/>
      <c r="F148" s="278"/>
      <c r="G148" s="278"/>
      <c r="H148" s="278" t="s">
        <v>13</v>
      </c>
      <c r="I148" s="278" t="s">
        <v>381</v>
      </c>
      <c r="J148" s="278" t="s">
        <v>15</v>
      </c>
      <c r="K148" s="278" t="s">
        <v>16</v>
      </c>
      <c r="L148" s="278" t="s">
        <v>17</v>
      </c>
      <c r="M148" s="278"/>
      <c r="N148" s="278"/>
      <c r="O148" s="278"/>
      <c r="P148" s="288"/>
    </row>
    <row r="149" spans="2:16" x14ac:dyDescent="0.25">
      <c r="B149" s="279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278"/>
      <c r="O149" s="278"/>
      <c r="P149" s="288"/>
    </row>
    <row r="150" spans="2:16" ht="15.75" x14ac:dyDescent="0.25">
      <c r="B150" s="188" t="s">
        <v>18</v>
      </c>
      <c r="C150" s="205" t="s">
        <v>19</v>
      </c>
      <c r="D150" s="205"/>
      <c r="E150" s="205" t="s">
        <v>20</v>
      </c>
      <c r="F150" s="205" t="s">
        <v>21</v>
      </c>
      <c r="G150" s="205" t="s">
        <v>22</v>
      </c>
      <c r="H150" s="205" t="s">
        <v>23</v>
      </c>
      <c r="I150" s="205" t="s">
        <v>23</v>
      </c>
      <c r="J150" s="205" t="s">
        <v>24</v>
      </c>
      <c r="K150" s="205" t="s">
        <v>22</v>
      </c>
      <c r="L150" s="205" t="s">
        <v>24</v>
      </c>
      <c r="M150" s="205" t="s">
        <v>25</v>
      </c>
      <c r="N150" s="205" t="s">
        <v>25</v>
      </c>
      <c r="O150" s="205" t="s">
        <v>26</v>
      </c>
      <c r="P150" s="189" t="s">
        <v>27</v>
      </c>
    </row>
    <row r="151" spans="2:16" ht="15.75" x14ac:dyDescent="0.25">
      <c r="B151" s="188">
        <v>160</v>
      </c>
      <c r="C151" s="12" t="s">
        <v>176</v>
      </c>
      <c r="D151" s="12" t="s">
        <v>29</v>
      </c>
      <c r="E151" s="205" t="s">
        <v>30</v>
      </c>
      <c r="F151" s="205">
        <v>1.5</v>
      </c>
      <c r="G151" s="205">
        <v>85</v>
      </c>
      <c r="H151" s="16">
        <f>I151*(100)/G151</f>
        <v>205.88235294117646</v>
      </c>
      <c r="I151" s="205">
        <v>175</v>
      </c>
      <c r="J151" s="17">
        <f>1/(I151/(10*G151))</f>
        <v>4.8571428571428577</v>
      </c>
      <c r="K151" s="205">
        <v>0</v>
      </c>
      <c r="L151" s="17">
        <f>J151-(J151/100*K151)</f>
        <v>4.8571428571428577</v>
      </c>
      <c r="M151" s="8">
        <v>482</v>
      </c>
      <c r="N151" s="8">
        <f>F151*M151</f>
        <v>723</v>
      </c>
      <c r="O151" s="9">
        <f>B151/L151</f>
        <v>32.941176470588232</v>
      </c>
      <c r="P151" s="209">
        <f>F151*O151</f>
        <v>49.411764705882348</v>
      </c>
    </row>
    <row r="152" spans="2:16" ht="15.75" x14ac:dyDescent="0.25">
      <c r="B152" s="188">
        <v>160</v>
      </c>
      <c r="C152" s="12" t="s">
        <v>176</v>
      </c>
      <c r="D152" s="12" t="s">
        <v>29</v>
      </c>
      <c r="E152" s="205" t="s">
        <v>30</v>
      </c>
      <c r="F152" s="205">
        <v>1.5</v>
      </c>
      <c r="G152" s="205">
        <v>85</v>
      </c>
      <c r="H152" s="16">
        <f>I152*(100)/G152</f>
        <v>205.88235294117646</v>
      </c>
      <c r="I152" s="205">
        <v>175</v>
      </c>
      <c r="J152" s="17">
        <f>1/(I152/(10*G152))</f>
        <v>4.8571428571428577</v>
      </c>
      <c r="K152" s="205">
        <v>0</v>
      </c>
      <c r="L152" s="17">
        <f>J152-(J152/100*K152)</f>
        <v>4.8571428571428577</v>
      </c>
      <c r="M152" s="8">
        <v>482</v>
      </c>
      <c r="N152" s="8">
        <f>F152*M152</f>
        <v>723</v>
      </c>
      <c r="O152" s="9">
        <f>B152/L152</f>
        <v>32.941176470588232</v>
      </c>
      <c r="P152" s="209">
        <f>F152*O152</f>
        <v>49.411764705882348</v>
      </c>
    </row>
    <row r="153" spans="2:16" ht="16.5" thickBot="1" x14ac:dyDescent="0.3">
      <c r="B153" s="194"/>
      <c r="C153" s="289" t="s">
        <v>35</v>
      </c>
      <c r="D153" s="289"/>
      <c r="E153" s="289"/>
      <c r="F153" s="289"/>
      <c r="G153" s="289"/>
      <c r="H153" s="289"/>
      <c r="I153" s="204">
        <f>I151+I152</f>
        <v>350</v>
      </c>
      <c r="J153" s="207"/>
      <c r="K153" s="208"/>
      <c r="L153" s="208"/>
      <c r="M153" s="208"/>
      <c r="N153" s="208"/>
      <c r="O153" s="208"/>
      <c r="P153" s="227">
        <f>P151+P152</f>
        <v>98.823529411764696</v>
      </c>
    </row>
  </sheetData>
  <mergeCells count="287">
    <mergeCell ref="B13:E13"/>
    <mergeCell ref="G13:J13"/>
    <mergeCell ref="B14:E14"/>
    <mergeCell ref="G14:J14"/>
    <mergeCell ref="B26:E26"/>
    <mergeCell ref="G26:J26"/>
    <mergeCell ref="B27:E27"/>
    <mergeCell ref="G27:J27"/>
    <mergeCell ref="B19:Q19"/>
    <mergeCell ref="G20:G22"/>
    <mergeCell ref="H20:I20"/>
    <mergeCell ref="J20:L20"/>
    <mergeCell ref="L21:L22"/>
    <mergeCell ref="C28:H28"/>
    <mergeCell ref="J28:P28"/>
    <mergeCell ref="B29:Q31"/>
    <mergeCell ref="H21:H22"/>
    <mergeCell ref="I21:I22"/>
    <mergeCell ref="J21:J22"/>
    <mergeCell ref="K21:K22"/>
    <mergeCell ref="B20:B22"/>
    <mergeCell ref="C20:C22"/>
    <mergeCell ref="D20:D22"/>
    <mergeCell ref="E20:E22"/>
    <mergeCell ref="F20:F22"/>
    <mergeCell ref="M20:M22"/>
    <mergeCell ref="N20:N22"/>
    <mergeCell ref="O20:O22"/>
    <mergeCell ref="P20:P22"/>
    <mergeCell ref="Q20:Q22"/>
    <mergeCell ref="C131:H131"/>
    <mergeCell ref="J131:P131"/>
    <mergeCell ref="N126:N128"/>
    <mergeCell ref="O126:O128"/>
    <mergeCell ref="P126:P128"/>
    <mergeCell ref="Q126:Q128"/>
    <mergeCell ref="H127:H128"/>
    <mergeCell ref="I127:I128"/>
    <mergeCell ref="J127:J128"/>
    <mergeCell ref="K127:K128"/>
    <mergeCell ref="L127:L128"/>
    <mergeCell ref="B126:B128"/>
    <mergeCell ref="C126:C128"/>
    <mergeCell ref="D126:D128"/>
    <mergeCell ref="E126:E128"/>
    <mergeCell ref="F126:F128"/>
    <mergeCell ref="G126:G128"/>
    <mergeCell ref="H126:I126"/>
    <mergeCell ref="J126:L126"/>
    <mergeCell ref="M126:M128"/>
    <mergeCell ref="G87:J87"/>
    <mergeCell ref="C88:H88"/>
    <mergeCell ref="J79:N79"/>
    <mergeCell ref="B81:B83"/>
    <mergeCell ref="C81:C83"/>
    <mergeCell ref="D81:D83"/>
    <mergeCell ref="E81:E83"/>
    <mergeCell ref="F81:F83"/>
    <mergeCell ref="G81:G83"/>
    <mergeCell ref="H81:I81"/>
    <mergeCell ref="J81:L81"/>
    <mergeCell ref="M81:M83"/>
    <mergeCell ref="H82:H83"/>
    <mergeCell ref="I82:I83"/>
    <mergeCell ref="J82:J83"/>
    <mergeCell ref="K82:K83"/>
    <mergeCell ref="L82:L83"/>
    <mergeCell ref="N81:N83"/>
    <mergeCell ref="B87:E87"/>
    <mergeCell ref="J47:J48"/>
    <mergeCell ref="K47:K48"/>
    <mergeCell ref="L47:L48"/>
    <mergeCell ref="B55:Q55"/>
    <mergeCell ref="C52:H52"/>
    <mergeCell ref="J52:P52"/>
    <mergeCell ref="B54:Q54"/>
    <mergeCell ref="B45:Q45"/>
    <mergeCell ref="B46:B48"/>
    <mergeCell ref="C46:C48"/>
    <mergeCell ref="D46:D48"/>
    <mergeCell ref="E46:E48"/>
    <mergeCell ref="F46:F48"/>
    <mergeCell ref="G46:G48"/>
    <mergeCell ref="H46:I46"/>
    <mergeCell ref="J46:L46"/>
    <mergeCell ref="M46:M48"/>
    <mergeCell ref="N46:N48"/>
    <mergeCell ref="O46:O48"/>
    <mergeCell ref="P46:P48"/>
    <mergeCell ref="Q46:Q48"/>
    <mergeCell ref="H47:H48"/>
    <mergeCell ref="M34:M36"/>
    <mergeCell ref="C40:H40"/>
    <mergeCell ref="J40:P40"/>
    <mergeCell ref="N34:N36"/>
    <mergeCell ref="O34:O36"/>
    <mergeCell ref="P34:P36"/>
    <mergeCell ref="Q34:Q36"/>
    <mergeCell ref="Q73:Q75"/>
    <mergeCell ref="H74:H75"/>
    <mergeCell ref="I74:I75"/>
    <mergeCell ref="J74:J75"/>
    <mergeCell ref="K74:K75"/>
    <mergeCell ref="L74:L75"/>
    <mergeCell ref="H73:I73"/>
    <mergeCell ref="J73:L73"/>
    <mergeCell ref="M73:M75"/>
    <mergeCell ref="N73:N75"/>
    <mergeCell ref="O73:O75"/>
    <mergeCell ref="P73:P75"/>
    <mergeCell ref="B53:Q53"/>
    <mergeCell ref="H57:H58"/>
    <mergeCell ref="I57:I58"/>
    <mergeCell ref="J57:J58"/>
    <mergeCell ref="P56:P58"/>
    <mergeCell ref="C7:C9"/>
    <mergeCell ref="D7:D9"/>
    <mergeCell ref="E7:E9"/>
    <mergeCell ref="F7:F9"/>
    <mergeCell ref="C79:H79"/>
    <mergeCell ref="B34:B36"/>
    <mergeCell ref="C34:C36"/>
    <mergeCell ref="D34:D36"/>
    <mergeCell ref="E34:E36"/>
    <mergeCell ref="F34:F36"/>
    <mergeCell ref="G34:G36"/>
    <mergeCell ref="H34:I34"/>
    <mergeCell ref="C61:H61"/>
    <mergeCell ref="I47:I48"/>
    <mergeCell ref="C15:H15"/>
    <mergeCell ref="G7:G9"/>
    <mergeCell ref="H35:H36"/>
    <mergeCell ref="I35:I36"/>
    <mergeCell ref="C56:C58"/>
    <mergeCell ref="D56:D58"/>
    <mergeCell ref="E56:E58"/>
    <mergeCell ref="F56:F58"/>
    <mergeCell ref="B44:Q44"/>
    <mergeCell ref="J34:L34"/>
    <mergeCell ref="C104:H104"/>
    <mergeCell ref="J104:P104"/>
    <mergeCell ref="B95:Q95"/>
    <mergeCell ref="B96:B98"/>
    <mergeCell ref="C96:C98"/>
    <mergeCell ref="D96:D98"/>
    <mergeCell ref="E96:E98"/>
    <mergeCell ref="F96:F98"/>
    <mergeCell ref="G96:G98"/>
    <mergeCell ref="H96:I96"/>
    <mergeCell ref="J96:L96"/>
    <mergeCell ref="M96:M98"/>
    <mergeCell ref="N96:N98"/>
    <mergeCell ref="O96:O98"/>
    <mergeCell ref="P96:P98"/>
    <mergeCell ref="Q96:Q98"/>
    <mergeCell ref="H97:H98"/>
    <mergeCell ref="I97:I98"/>
    <mergeCell ref="J97:J98"/>
    <mergeCell ref="K97:K98"/>
    <mergeCell ref="L97:L98"/>
    <mergeCell ref="B103:E103"/>
    <mergeCell ref="G103:J103"/>
    <mergeCell ref="B64:Q64"/>
    <mergeCell ref="B56:B58"/>
    <mergeCell ref="B73:B75"/>
    <mergeCell ref="C73:C75"/>
    <mergeCell ref="D73:D75"/>
    <mergeCell ref="E73:E75"/>
    <mergeCell ref="F73:F75"/>
    <mergeCell ref="G73:G75"/>
    <mergeCell ref="O81:O83"/>
    <mergeCell ref="P81:P83"/>
    <mergeCell ref="Q81:Q83"/>
    <mergeCell ref="K57:K58"/>
    <mergeCell ref="L57:L58"/>
    <mergeCell ref="J61:L61"/>
    <mergeCell ref="M56:M58"/>
    <mergeCell ref="N56:N58"/>
    <mergeCell ref="O56:O58"/>
    <mergeCell ref="Q56:Q58"/>
    <mergeCell ref="G56:G58"/>
    <mergeCell ref="H56:I56"/>
    <mergeCell ref="J56:L56"/>
    <mergeCell ref="B6:Q6"/>
    <mergeCell ref="B33:Q33"/>
    <mergeCell ref="B16:Q18"/>
    <mergeCell ref="B32:P32"/>
    <mergeCell ref="B41:Q43"/>
    <mergeCell ref="J35:J36"/>
    <mergeCell ref="K35:K36"/>
    <mergeCell ref="L35:L36"/>
    <mergeCell ref="B102:E102"/>
    <mergeCell ref="G102:J102"/>
    <mergeCell ref="J15:P15"/>
    <mergeCell ref="O7:O9"/>
    <mergeCell ref="P7:P9"/>
    <mergeCell ref="Q7:Q9"/>
    <mergeCell ref="H8:H9"/>
    <mergeCell ref="I8:I9"/>
    <mergeCell ref="J8:J9"/>
    <mergeCell ref="K8:K9"/>
    <mergeCell ref="L8:L9"/>
    <mergeCell ref="H7:I7"/>
    <mergeCell ref="J7:L7"/>
    <mergeCell ref="M7:M9"/>
    <mergeCell ref="N7:N9"/>
    <mergeCell ref="B7:B9"/>
    <mergeCell ref="B109:B111"/>
    <mergeCell ref="C109:C111"/>
    <mergeCell ref="D109:D111"/>
    <mergeCell ref="E109:E111"/>
    <mergeCell ref="F109:F111"/>
    <mergeCell ref="G109:G111"/>
    <mergeCell ref="H109:I109"/>
    <mergeCell ref="J109:L109"/>
    <mergeCell ref="M109:M111"/>
    <mergeCell ref="N109:N111"/>
    <mergeCell ref="O109:O111"/>
    <mergeCell ref="P109:P111"/>
    <mergeCell ref="Q109:Q111"/>
    <mergeCell ref="H110:H111"/>
    <mergeCell ref="I110:I111"/>
    <mergeCell ref="J110:J111"/>
    <mergeCell ref="K110:K111"/>
    <mergeCell ref="L110:L111"/>
    <mergeCell ref="B107:P107"/>
    <mergeCell ref="Q117:Q119"/>
    <mergeCell ref="H118:H119"/>
    <mergeCell ref="I118:I119"/>
    <mergeCell ref="J118:J119"/>
    <mergeCell ref="K118:K119"/>
    <mergeCell ref="L118:L119"/>
    <mergeCell ref="C123:H123"/>
    <mergeCell ref="J123:P123"/>
    <mergeCell ref="B108:P108"/>
    <mergeCell ref="C115:H115"/>
    <mergeCell ref="J115:P115"/>
    <mergeCell ref="B117:B119"/>
    <mergeCell ref="C117:C119"/>
    <mergeCell ref="D117:D119"/>
    <mergeCell ref="E117:E119"/>
    <mergeCell ref="F117:F119"/>
    <mergeCell ref="G117:G119"/>
    <mergeCell ref="H117:I117"/>
    <mergeCell ref="J117:L117"/>
    <mergeCell ref="M117:M119"/>
    <mergeCell ref="N117:N119"/>
    <mergeCell ref="O117:O119"/>
    <mergeCell ref="P117:P119"/>
    <mergeCell ref="B134:B136"/>
    <mergeCell ref="C134:C136"/>
    <mergeCell ref="D134:D136"/>
    <mergeCell ref="E134:E136"/>
    <mergeCell ref="F134:F136"/>
    <mergeCell ref="G134:G136"/>
    <mergeCell ref="H134:I134"/>
    <mergeCell ref="J134:L134"/>
    <mergeCell ref="M134:M136"/>
    <mergeCell ref="C140:H140"/>
    <mergeCell ref="J140:P140"/>
    <mergeCell ref="N134:N136"/>
    <mergeCell ref="O134:O136"/>
    <mergeCell ref="P134:P136"/>
    <mergeCell ref="Q134:Q136"/>
    <mergeCell ref="H135:H136"/>
    <mergeCell ref="I135:I136"/>
    <mergeCell ref="J135:J136"/>
    <mergeCell ref="K135:K136"/>
    <mergeCell ref="L135:L136"/>
    <mergeCell ref="B147:B149"/>
    <mergeCell ref="C147:C149"/>
    <mergeCell ref="D147:D149"/>
    <mergeCell ref="E147:E149"/>
    <mergeCell ref="F147:F149"/>
    <mergeCell ref="G147:G149"/>
    <mergeCell ref="H147:I147"/>
    <mergeCell ref="J147:L147"/>
    <mergeCell ref="M147:M149"/>
    <mergeCell ref="N147:N149"/>
    <mergeCell ref="O147:O149"/>
    <mergeCell ref="P147:P149"/>
    <mergeCell ref="H148:H149"/>
    <mergeCell ref="I148:I149"/>
    <mergeCell ref="J148:J149"/>
    <mergeCell ref="K148:K149"/>
    <mergeCell ref="L148:L149"/>
    <mergeCell ref="C153:H153"/>
  </mergeCells>
  <phoneticPr fontId="39" type="noConversion"/>
  <pageMargins left="0.7" right="0.7" top="0.75" bottom="0.75" header="0.3" footer="0.3"/>
  <pageSetup paperSize="9" scale="13" firstPageNumber="42949672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F0DC-8F3C-47A2-8A32-5D1183AA4134}">
  <dimension ref="A1:H10"/>
  <sheetViews>
    <sheetView workbookViewId="0">
      <selection sqref="A1:H10"/>
    </sheetView>
  </sheetViews>
  <sheetFormatPr defaultRowHeight="15" x14ac:dyDescent="0.25"/>
  <cols>
    <col min="1" max="1" width="17.28515625" customWidth="1"/>
    <col min="2" max="2" width="17" customWidth="1"/>
    <col min="3" max="3" width="13" customWidth="1"/>
    <col min="4" max="4" width="12" customWidth="1"/>
    <col min="8" max="8" width="13.28515625" customWidth="1"/>
  </cols>
  <sheetData>
    <row r="1" spans="1:8" ht="33.75" x14ac:dyDescent="0.25">
      <c r="A1" s="257" t="s">
        <v>430</v>
      </c>
      <c r="B1" s="258" t="s">
        <v>431</v>
      </c>
      <c r="C1" s="257" t="s">
        <v>432</v>
      </c>
      <c r="D1" s="259" t="s">
        <v>433</v>
      </c>
      <c r="E1" s="259" t="s">
        <v>434</v>
      </c>
      <c r="F1" s="257" t="s">
        <v>442</v>
      </c>
      <c r="G1" s="257" t="s">
        <v>440</v>
      </c>
      <c r="H1" s="257" t="s">
        <v>441</v>
      </c>
    </row>
    <row r="2" spans="1:8" x14ac:dyDescent="0.25">
      <c r="A2" s="260" t="s">
        <v>435</v>
      </c>
      <c r="B2" s="261" t="s">
        <v>436</v>
      </c>
      <c r="C2" s="262">
        <v>2</v>
      </c>
      <c r="D2" s="262">
        <v>50</v>
      </c>
      <c r="E2" s="262"/>
      <c r="F2" s="272">
        <v>0.17499999999999999</v>
      </c>
      <c r="G2" s="263">
        <v>115</v>
      </c>
      <c r="H2" s="264">
        <f>G2*F2</f>
        <v>20.125</v>
      </c>
    </row>
    <row r="3" spans="1:8" ht="15.75" thickBot="1" x14ac:dyDescent="0.3">
      <c r="A3" s="265" t="s">
        <v>437</v>
      </c>
      <c r="B3" s="266" t="s">
        <v>239</v>
      </c>
      <c r="C3" s="262">
        <v>3</v>
      </c>
      <c r="D3" s="267">
        <v>65</v>
      </c>
      <c r="E3" s="262"/>
      <c r="F3" s="272">
        <v>0.18</v>
      </c>
      <c r="G3" s="263">
        <v>170</v>
      </c>
      <c r="H3" s="264">
        <f>G3*F3</f>
        <v>30.599999999999998</v>
      </c>
    </row>
    <row r="4" spans="1:8" ht="15.75" thickBot="1" x14ac:dyDescent="0.3">
      <c r="A4" s="268"/>
      <c r="C4" s="269">
        <f>SUM(C2:C3)</f>
        <v>5</v>
      </c>
      <c r="D4" s="270">
        <f>SUM(D2:D3)</f>
        <v>115</v>
      </c>
      <c r="G4" s="268"/>
      <c r="H4" s="271">
        <f>SUM(H2:H3)</f>
        <v>50.724999999999994</v>
      </c>
    </row>
    <row r="7" spans="1:8" ht="33.75" x14ac:dyDescent="0.25">
      <c r="A7" s="257" t="s">
        <v>430</v>
      </c>
      <c r="B7" s="258" t="s">
        <v>431</v>
      </c>
      <c r="C7" s="257" t="s">
        <v>432</v>
      </c>
      <c r="D7" s="259" t="s">
        <v>433</v>
      </c>
      <c r="E7" s="259" t="s">
        <v>434</v>
      </c>
      <c r="F7" s="257" t="s">
        <v>442</v>
      </c>
      <c r="G7" s="257" t="s">
        <v>440</v>
      </c>
      <c r="H7" s="257" t="s">
        <v>441</v>
      </c>
    </row>
    <row r="8" spans="1:8" x14ac:dyDescent="0.25">
      <c r="A8" s="260" t="s">
        <v>439</v>
      </c>
      <c r="B8" s="261" t="s">
        <v>436</v>
      </c>
      <c r="C8" s="262">
        <v>1</v>
      </c>
      <c r="D8" s="262">
        <v>50</v>
      </c>
      <c r="E8" s="262"/>
      <c r="F8" s="263">
        <f>50/10/55*1.35</f>
        <v>0.12272727272727274</v>
      </c>
      <c r="G8" s="263">
        <v>480</v>
      </c>
      <c r="H8" s="264">
        <f>G8*F8</f>
        <v>58.909090909090914</v>
      </c>
    </row>
    <row r="9" spans="1:8" ht="15.75" thickBot="1" x14ac:dyDescent="0.3">
      <c r="A9" s="260" t="s">
        <v>439</v>
      </c>
      <c r="B9" s="266" t="s">
        <v>438</v>
      </c>
      <c r="C9" s="262">
        <v>1</v>
      </c>
      <c r="D9" s="267">
        <v>60</v>
      </c>
      <c r="E9" s="262"/>
      <c r="F9" s="263">
        <f>60/10/55*1.35</f>
        <v>0.14727272727272728</v>
      </c>
      <c r="G9" s="263">
        <v>480</v>
      </c>
      <c r="H9" s="264">
        <f>G9*F9</f>
        <v>70.690909090909088</v>
      </c>
    </row>
    <row r="10" spans="1:8" ht="15.75" thickBot="1" x14ac:dyDescent="0.3">
      <c r="A10" s="268"/>
      <c r="C10" s="269">
        <f>SUM(C8:C9)</f>
        <v>2</v>
      </c>
      <c r="D10" s="270">
        <f>SUM(D8:D9)</f>
        <v>110</v>
      </c>
      <c r="G10" s="268"/>
      <c r="H10" s="271">
        <f>SUM(H8:H9)</f>
        <v>129.6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4EAD-9671-42E0-90B5-5751234F4E22}">
  <dimension ref="B1:R25"/>
  <sheetViews>
    <sheetView zoomScale="70" zoomScaleNormal="70" workbookViewId="0">
      <selection activeCell="N6" sqref="N6"/>
    </sheetView>
  </sheetViews>
  <sheetFormatPr defaultRowHeight="15" x14ac:dyDescent="0.25"/>
  <cols>
    <col min="2" max="2" width="12" customWidth="1"/>
    <col min="3" max="3" width="18.5703125" customWidth="1"/>
    <col min="4" max="4" width="12.7109375" customWidth="1"/>
    <col min="14" max="14" width="12.85546875" customWidth="1"/>
    <col min="15" max="15" width="19.7109375" customWidth="1"/>
    <col min="16" max="16" width="21.140625" customWidth="1"/>
    <col min="17" max="17" width="18.42578125" customWidth="1"/>
    <col min="18" max="18" width="18" customWidth="1"/>
  </cols>
  <sheetData>
    <row r="1" spans="2:18" ht="15.75" thickBot="1" x14ac:dyDescent="0.3"/>
    <row r="2" spans="2:18" ht="15.75" x14ac:dyDescent="0.25">
      <c r="B2" s="290" t="s">
        <v>220</v>
      </c>
      <c r="C2" s="286" t="s">
        <v>1</v>
      </c>
      <c r="D2" s="286" t="s">
        <v>2</v>
      </c>
      <c r="E2" s="286" t="s">
        <v>3</v>
      </c>
      <c r="F2" s="286" t="s">
        <v>4</v>
      </c>
      <c r="G2" s="286" t="s">
        <v>5</v>
      </c>
      <c r="H2" s="286" t="s">
        <v>6</v>
      </c>
      <c r="I2" s="286"/>
      <c r="J2" s="286"/>
      <c r="K2" s="286"/>
      <c r="L2" s="286"/>
      <c r="M2" s="286" t="s">
        <v>8</v>
      </c>
      <c r="N2" s="286" t="s">
        <v>9</v>
      </c>
      <c r="O2" s="286" t="s">
        <v>10</v>
      </c>
      <c r="P2" s="354" t="s">
        <v>414</v>
      </c>
      <c r="Q2" s="350" t="s">
        <v>184</v>
      </c>
      <c r="R2" s="352" t="s">
        <v>412</v>
      </c>
    </row>
    <row r="3" spans="2:18" x14ac:dyDescent="0.25">
      <c r="B3" s="279"/>
      <c r="C3" s="278"/>
      <c r="D3" s="278"/>
      <c r="E3" s="278"/>
      <c r="F3" s="278"/>
      <c r="G3" s="278"/>
      <c r="H3" s="278" t="s">
        <v>13</v>
      </c>
      <c r="I3" s="278" t="s">
        <v>381</v>
      </c>
      <c r="J3" s="278" t="s">
        <v>15</v>
      </c>
      <c r="K3" s="278" t="s">
        <v>16</v>
      </c>
      <c r="L3" s="278" t="s">
        <v>17</v>
      </c>
      <c r="M3" s="278"/>
      <c r="N3" s="278"/>
      <c r="O3" s="278"/>
      <c r="P3" s="355"/>
      <c r="Q3" s="351"/>
      <c r="R3" s="353"/>
    </row>
    <row r="4" spans="2:18" x14ac:dyDescent="0.25">
      <c r="B4" s="279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355"/>
      <c r="Q4" s="351"/>
      <c r="R4" s="353"/>
    </row>
    <row r="5" spans="2:18" ht="15.75" x14ac:dyDescent="0.25">
      <c r="B5" s="188" t="s">
        <v>18</v>
      </c>
      <c r="C5" s="225" t="s">
        <v>19</v>
      </c>
      <c r="D5" s="225"/>
      <c r="E5" s="225" t="s">
        <v>20</v>
      </c>
      <c r="F5" s="225" t="s">
        <v>21</v>
      </c>
      <c r="G5" s="225" t="s">
        <v>22</v>
      </c>
      <c r="H5" s="225" t="s">
        <v>23</v>
      </c>
      <c r="I5" s="225" t="s">
        <v>23</v>
      </c>
      <c r="J5" s="225" t="s">
        <v>24</v>
      </c>
      <c r="K5" s="225" t="s">
        <v>22</v>
      </c>
      <c r="L5" s="225" t="s">
        <v>24</v>
      </c>
      <c r="M5" s="225" t="s">
        <v>25</v>
      </c>
      <c r="N5" s="225" t="s">
        <v>25</v>
      </c>
      <c r="O5" s="225" t="s">
        <v>26</v>
      </c>
      <c r="P5" s="226" t="s">
        <v>27</v>
      </c>
      <c r="Q5" s="233" t="s">
        <v>410</v>
      </c>
      <c r="R5" s="234" t="s">
        <v>411</v>
      </c>
    </row>
    <row r="6" spans="2:18" ht="15.75" x14ac:dyDescent="0.25">
      <c r="B6" s="188">
        <v>1</v>
      </c>
      <c r="C6" s="12" t="s">
        <v>415</v>
      </c>
      <c r="D6" s="12" t="s">
        <v>29</v>
      </c>
      <c r="E6" s="225" t="s">
        <v>30</v>
      </c>
      <c r="F6" s="225">
        <v>2.9</v>
      </c>
      <c r="G6" s="225">
        <v>58</v>
      </c>
      <c r="H6" s="16">
        <f>I6*(105)/G6</f>
        <v>108.62068965517241</v>
      </c>
      <c r="I6" s="225">
        <v>60</v>
      </c>
      <c r="J6" s="17">
        <f>1/(I6/(10*G6))</f>
        <v>9.6666666666666661</v>
      </c>
      <c r="K6" s="225">
        <v>0</v>
      </c>
      <c r="L6" s="17">
        <f>J6-(J6/100*K6)</f>
        <v>9.6666666666666661</v>
      </c>
      <c r="M6" s="8">
        <f>702*1.2</f>
        <v>842.4</v>
      </c>
      <c r="N6" s="8">
        <f>F6*M6</f>
        <v>2442.96</v>
      </c>
      <c r="O6" s="9">
        <f>B6/L6</f>
        <v>0.10344827586206898</v>
      </c>
      <c r="P6" s="180">
        <f t="shared" ref="P6:P11" si="0">F6*O6</f>
        <v>0.30000000000000004</v>
      </c>
      <c r="Q6" s="231">
        <f>P6*M6</f>
        <v>252.72000000000003</v>
      </c>
      <c r="R6" s="348">
        <f>Q12/B7</f>
        <v>561.46157770429841</v>
      </c>
    </row>
    <row r="7" spans="2:18" ht="15.75" x14ac:dyDescent="0.25">
      <c r="B7" s="188">
        <v>1</v>
      </c>
      <c r="C7" s="12" t="s">
        <v>416</v>
      </c>
      <c r="D7" s="12" t="s">
        <v>29</v>
      </c>
      <c r="E7" s="225" t="s">
        <v>30</v>
      </c>
      <c r="F7" s="225">
        <v>1.6</v>
      </c>
      <c r="G7" s="225">
        <v>73</v>
      </c>
      <c r="H7" s="16">
        <f>I7*(105)/G7</f>
        <v>230.13698630136986</v>
      </c>
      <c r="I7" s="225">
        <v>160</v>
      </c>
      <c r="J7" s="17">
        <f>1/(I7/(10*G7))</f>
        <v>4.5625</v>
      </c>
      <c r="K7" s="225">
        <v>0</v>
      </c>
      <c r="L7" s="17">
        <f>J7-(J7/100*K7)</f>
        <v>4.5625</v>
      </c>
      <c r="M7" s="8">
        <f>462*1.2</f>
        <v>554.4</v>
      </c>
      <c r="N7" s="8">
        <f>F7*M7</f>
        <v>887.04</v>
      </c>
      <c r="O7" s="9">
        <f>B7/L7</f>
        <v>0.21917808219178081</v>
      </c>
      <c r="P7" s="180">
        <f t="shared" si="0"/>
        <v>0.35068493150684932</v>
      </c>
      <c r="Q7" s="231">
        <f>P7*M7</f>
        <v>194.41972602739725</v>
      </c>
      <c r="R7" s="348"/>
    </row>
    <row r="8" spans="2:18" ht="31.5" x14ac:dyDescent="0.25">
      <c r="B8" s="188">
        <v>1</v>
      </c>
      <c r="C8" s="12" t="s">
        <v>232</v>
      </c>
      <c r="D8" s="12" t="s">
        <v>32</v>
      </c>
      <c r="E8" s="225">
        <v>1015</v>
      </c>
      <c r="F8" s="225">
        <v>1.3</v>
      </c>
      <c r="G8" s="225">
        <v>58</v>
      </c>
      <c r="H8" s="16">
        <f>I8*(105)/G8</f>
        <v>108.62068965517241</v>
      </c>
      <c r="I8" s="225">
        <v>60</v>
      </c>
      <c r="J8" s="17">
        <f>1/(I8/(10*G8))</f>
        <v>9.6666666666666661</v>
      </c>
      <c r="K8" s="225">
        <v>0</v>
      </c>
      <c r="L8" s="17">
        <f>J8-(J8/100*K8)</f>
        <v>9.6666666666666661</v>
      </c>
      <c r="M8" s="8">
        <f>649*1.2</f>
        <v>778.8</v>
      </c>
      <c r="N8" s="8">
        <f>F8*M8</f>
        <v>1012.4399999999999</v>
      </c>
      <c r="O8" s="9">
        <f>B8/L8</f>
        <v>0.10344827586206898</v>
      </c>
      <c r="P8" s="180">
        <f t="shared" si="0"/>
        <v>0.13448275862068967</v>
      </c>
      <c r="Q8" s="231">
        <f>P8*M8</f>
        <v>104.73517241379311</v>
      </c>
      <c r="R8" s="348"/>
    </row>
    <row r="9" spans="2:18" ht="15.75" x14ac:dyDescent="0.25">
      <c r="B9" s="312" t="s">
        <v>393</v>
      </c>
      <c r="C9" s="313"/>
      <c r="D9" s="313"/>
      <c r="E9" s="314"/>
      <c r="F9" s="225">
        <v>0.9</v>
      </c>
      <c r="G9" s="347">
        <v>5</v>
      </c>
      <c r="H9" s="313"/>
      <c r="I9" s="313"/>
      <c r="J9" s="314"/>
      <c r="K9" s="225"/>
      <c r="L9" s="225"/>
      <c r="M9" s="12">
        <v>500</v>
      </c>
      <c r="N9" s="221"/>
      <c r="O9" s="13">
        <f>O6*(G9/100)</f>
        <v>5.1724137931034491E-3</v>
      </c>
      <c r="P9" s="180">
        <f t="shared" si="0"/>
        <v>4.6551724137931039E-3</v>
      </c>
      <c r="Q9" s="231">
        <f>M9*P9</f>
        <v>2.327586206896552</v>
      </c>
      <c r="R9" s="348"/>
    </row>
    <row r="10" spans="2:18" ht="15.75" x14ac:dyDescent="0.25">
      <c r="B10" s="312" t="s">
        <v>393</v>
      </c>
      <c r="C10" s="313"/>
      <c r="D10" s="313"/>
      <c r="E10" s="314"/>
      <c r="F10" s="225">
        <v>0.9</v>
      </c>
      <c r="G10" s="347">
        <v>5</v>
      </c>
      <c r="H10" s="313"/>
      <c r="I10" s="313"/>
      <c r="J10" s="314"/>
      <c r="K10" s="225"/>
      <c r="L10" s="225"/>
      <c r="M10" s="12">
        <v>500</v>
      </c>
      <c r="N10" s="221"/>
      <c r="O10" s="13">
        <f>O7*(G10/100)</f>
        <v>1.0958904109589041E-2</v>
      </c>
      <c r="P10" s="180">
        <f t="shared" si="0"/>
        <v>9.8630136986301367E-3</v>
      </c>
      <c r="Q10" s="231">
        <f>M10*P10</f>
        <v>4.9315068493150687</v>
      </c>
      <c r="R10" s="348"/>
    </row>
    <row r="11" spans="2:18" ht="15.75" x14ac:dyDescent="0.25">
      <c r="B11" s="312" t="s">
        <v>393</v>
      </c>
      <c r="C11" s="313"/>
      <c r="D11" s="313"/>
      <c r="E11" s="314"/>
      <c r="F11" s="225">
        <v>0.9</v>
      </c>
      <c r="G11" s="347">
        <v>5</v>
      </c>
      <c r="H11" s="313"/>
      <c r="I11" s="313"/>
      <c r="J11" s="314"/>
      <c r="K11" s="225"/>
      <c r="L11" s="225"/>
      <c r="M11" s="12">
        <v>500</v>
      </c>
      <c r="N11" s="221"/>
      <c r="O11" s="13">
        <f>O8*(G11/100)</f>
        <v>5.1724137931034491E-3</v>
      </c>
      <c r="P11" s="180">
        <f t="shared" si="0"/>
        <v>4.6551724137931039E-3</v>
      </c>
      <c r="Q11" s="231">
        <f>M11*P11</f>
        <v>2.327586206896552</v>
      </c>
      <c r="R11" s="348"/>
    </row>
    <row r="12" spans="2:18" ht="16.5" thickBot="1" x14ac:dyDescent="0.3">
      <c r="B12" s="194"/>
      <c r="C12" s="356" t="s">
        <v>35</v>
      </c>
      <c r="D12" s="357"/>
      <c r="E12" s="357"/>
      <c r="F12" s="357"/>
      <c r="G12" s="357"/>
      <c r="H12" s="358"/>
      <c r="I12" s="224">
        <f>SUM(I7:I8)</f>
        <v>220</v>
      </c>
      <c r="J12" s="356"/>
      <c r="K12" s="357"/>
      <c r="L12" s="357"/>
      <c r="M12" s="357"/>
      <c r="N12" s="357"/>
      <c r="O12" s="357"/>
      <c r="P12" s="357"/>
      <c r="Q12" s="232">
        <f>SUM(Q6:Q11)</f>
        <v>561.46157770429841</v>
      </c>
      <c r="R12" s="349"/>
    </row>
    <row r="14" spans="2:18" ht="15.75" thickBot="1" x14ac:dyDescent="0.3"/>
    <row r="15" spans="2:18" ht="15.75" x14ac:dyDescent="0.25">
      <c r="B15" s="290" t="s">
        <v>220</v>
      </c>
      <c r="C15" s="286" t="s">
        <v>1</v>
      </c>
      <c r="D15" s="286" t="s">
        <v>2</v>
      </c>
      <c r="E15" s="286" t="s">
        <v>3</v>
      </c>
      <c r="F15" s="286" t="s">
        <v>4</v>
      </c>
      <c r="G15" s="286" t="s">
        <v>5</v>
      </c>
      <c r="H15" s="286" t="s">
        <v>6</v>
      </c>
      <c r="I15" s="286"/>
      <c r="J15" s="286"/>
      <c r="K15" s="286"/>
      <c r="L15" s="286"/>
      <c r="M15" s="286" t="s">
        <v>8</v>
      </c>
      <c r="N15" s="286" t="s">
        <v>9</v>
      </c>
      <c r="O15" s="286" t="s">
        <v>10</v>
      </c>
      <c r="P15" s="354" t="s">
        <v>414</v>
      </c>
      <c r="Q15" s="350" t="s">
        <v>184</v>
      </c>
      <c r="R15" s="352" t="s">
        <v>412</v>
      </c>
    </row>
    <row r="16" spans="2:18" x14ac:dyDescent="0.25">
      <c r="B16" s="279"/>
      <c r="C16" s="278"/>
      <c r="D16" s="278"/>
      <c r="E16" s="278"/>
      <c r="F16" s="278"/>
      <c r="G16" s="278"/>
      <c r="H16" s="278" t="s">
        <v>13</v>
      </c>
      <c r="I16" s="278" t="s">
        <v>381</v>
      </c>
      <c r="J16" s="278" t="s">
        <v>15</v>
      </c>
      <c r="K16" s="278" t="s">
        <v>16</v>
      </c>
      <c r="L16" s="278" t="s">
        <v>17</v>
      </c>
      <c r="M16" s="278"/>
      <c r="N16" s="278"/>
      <c r="O16" s="278"/>
      <c r="P16" s="355"/>
      <c r="Q16" s="351"/>
      <c r="R16" s="353"/>
    </row>
    <row r="17" spans="2:18" x14ac:dyDescent="0.25">
      <c r="B17" s="279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355"/>
      <c r="Q17" s="351"/>
      <c r="R17" s="353"/>
    </row>
    <row r="18" spans="2:18" ht="15.75" x14ac:dyDescent="0.25">
      <c r="B18" s="188" t="s">
        <v>18</v>
      </c>
      <c r="C18" s="225" t="s">
        <v>19</v>
      </c>
      <c r="D18" s="225"/>
      <c r="E18" s="225" t="s">
        <v>20</v>
      </c>
      <c r="F18" s="225" t="s">
        <v>21</v>
      </c>
      <c r="G18" s="225" t="s">
        <v>22</v>
      </c>
      <c r="H18" s="225" t="s">
        <v>23</v>
      </c>
      <c r="I18" s="225" t="s">
        <v>23</v>
      </c>
      <c r="J18" s="225" t="s">
        <v>24</v>
      </c>
      <c r="K18" s="225" t="s">
        <v>22</v>
      </c>
      <c r="L18" s="225" t="s">
        <v>24</v>
      </c>
      <c r="M18" s="225" t="s">
        <v>25</v>
      </c>
      <c r="N18" s="225" t="s">
        <v>25</v>
      </c>
      <c r="O18" s="225" t="s">
        <v>26</v>
      </c>
      <c r="P18" s="226" t="s">
        <v>27</v>
      </c>
      <c r="Q18" s="233" t="s">
        <v>410</v>
      </c>
      <c r="R18" s="234" t="s">
        <v>411</v>
      </c>
    </row>
    <row r="19" spans="2:18" ht="31.5" x14ac:dyDescent="0.25">
      <c r="B19" s="188">
        <v>1</v>
      </c>
      <c r="C19" s="12" t="s">
        <v>417</v>
      </c>
      <c r="D19" s="12" t="s">
        <v>29</v>
      </c>
      <c r="E19" s="225" t="s">
        <v>30</v>
      </c>
      <c r="F19" s="225">
        <v>2.6</v>
      </c>
      <c r="G19" s="225">
        <v>63</v>
      </c>
      <c r="H19" s="16">
        <f>I19*(105)/G19</f>
        <v>100</v>
      </c>
      <c r="I19" s="225">
        <v>60</v>
      </c>
      <c r="J19" s="17">
        <f>1/(I19/(10*G19))</f>
        <v>10.5</v>
      </c>
      <c r="K19" s="225">
        <v>0</v>
      </c>
      <c r="L19" s="17">
        <f>J19-(J19/100*K19)</f>
        <v>10.5</v>
      </c>
      <c r="M19" s="8">
        <f>698.5*1.22</f>
        <v>852.17</v>
      </c>
      <c r="N19" s="8">
        <f>F19*M19</f>
        <v>2215.6419999999998</v>
      </c>
      <c r="O19" s="9">
        <f>B19/L19</f>
        <v>9.5238095238095233E-2</v>
      </c>
      <c r="P19" s="180">
        <f t="shared" ref="P19:P24" si="1">F19*O19</f>
        <v>0.24761904761904763</v>
      </c>
      <c r="Q19" s="231">
        <f>P19*M19</f>
        <v>211.0135238095238</v>
      </c>
      <c r="R19" s="348">
        <f>Q25/B20</f>
        <v>549.28919859943971</v>
      </c>
    </row>
    <row r="20" spans="2:18" ht="31.5" x14ac:dyDescent="0.25">
      <c r="B20" s="188">
        <v>1</v>
      </c>
      <c r="C20" s="12" t="s">
        <v>418</v>
      </c>
      <c r="D20" s="12" t="s">
        <v>29</v>
      </c>
      <c r="E20" s="225" t="s">
        <v>30</v>
      </c>
      <c r="F20" s="225">
        <v>1.36</v>
      </c>
      <c r="G20" s="225">
        <v>68</v>
      </c>
      <c r="H20" s="16">
        <f>I20*(105)/G20</f>
        <v>247.05882352941177</v>
      </c>
      <c r="I20" s="225">
        <v>160</v>
      </c>
      <c r="J20" s="17">
        <f>1/(I20/(10*G20))</f>
        <v>4.25</v>
      </c>
      <c r="K20" s="225">
        <v>0</v>
      </c>
      <c r="L20" s="17">
        <f>J20-(J20/100*K20)</f>
        <v>4.25</v>
      </c>
      <c r="M20" s="8">
        <f>566.5*1.22</f>
        <v>691.13</v>
      </c>
      <c r="N20" s="8">
        <f>F20*M20</f>
        <v>939.93680000000006</v>
      </c>
      <c r="O20" s="9">
        <f>B20/L20</f>
        <v>0.23529411764705882</v>
      </c>
      <c r="P20" s="180">
        <f t="shared" si="1"/>
        <v>0.32</v>
      </c>
      <c r="Q20" s="231">
        <f>P20*M20</f>
        <v>221.16159999999999</v>
      </c>
      <c r="R20" s="348"/>
    </row>
    <row r="21" spans="2:18" ht="31.5" x14ac:dyDescent="0.25">
      <c r="B21" s="188">
        <v>1</v>
      </c>
      <c r="C21" s="12" t="s">
        <v>419</v>
      </c>
      <c r="D21" s="12" t="s">
        <v>32</v>
      </c>
      <c r="E21" s="225">
        <v>1015</v>
      </c>
      <c r="F21" s="225">
        <v>1.1000000000000001</v>
      </c>
      <c r="G21" s="225">
        <v>60</v>
      </c>
      <c r="H21" s="16">
        <f>I21*(105)/G21</f>
        <v>105</v>
      </c>
      <c r="I21" s="225">
        <v>60</v>
      </c>
      <c r="J21" s="17">
        <f>1/(I21/(10*G21))</f>
        <v>10</v>
      </c>
      <c r="K21" s="225">
        <v>0</v>
      </c>
      <c r="L21" s="17">
        <f>J21-(J21/100*K21)</f>
        <v>10</v>
      </c>
      <c r="M21" s="8">
        <f>800.5*1.22</f>
        <v>976.61</v>
      </c>
      <c r="N21" s="8">
        <f>F21*M21</f>
        <v>1074.2710000000002</v>
      </c>
      <c r="O21" s="9">
        <f>B21/L21</f>
        <v>0.1</v>
      </c>
      <c r="P21" s="180">
        <f t="shared" si="1"/>
        <v>0.11000000000000001</v>
      </c>
      <c r="Q21" s="231">
        <f>P21*M21</f>
        <v>107.42710000000001</v>
      </c>
      <c r="R21" s="348"/>
    </row>
    <row r="22" spans="2:18" ht="15.75" x14ac:dyDescent="0.25">
      <c r="B22" s="312" t="s">
        <v>393</v>
      </c>
      <c r="C22" s="313"/>
      <c r="D22" s="313"/>
      <c r="E22" s="314"/>
      <c r="F22" s="225">
        <v>0.9</v>
      </c>
      <c r="G22" s="347">
        <v>5</v>
      </c>
      <c r="H22" s="313"/>
      <c r="I22" s="313"/>
      <c r="J22" s="314"/>
      <c r="K22" s="225"/>
      <c r="L22" s="225"/>
      <c r="M22" s="12">
        <v>500</v>
      </c>
      <c r="N22" s="221"/>
      <c r="O22" s="13">
        <f>O19*(G22/100)</f>
        <v>4.7619047619047623E-3</v>
      </c>
      <c r="P22" s="180">
        <f t="shared" si="1"/>
        <v>4.2857142857142859E-3</v>
      </c>
      <c r="Q22" s="231">
        <f>M22*P22</f>
        <v>2.1428571428571428</v>
      </c>
      <c r="R22" s="348"/>
    </row>
    <row r="23" spans="2:18" ht="15.75" x14ac:dyDescent="0.25">
      <c r="B23" s="312" t="s">
        <v>393</v>
      </c>
      <c r="C23" s="313"/>
      <c r="D23" s="313"/>
      <c r="E23" s="314"/>
      <c r="F23" s="225">
        <v>0.9</v>
      </c>
      <c r="G23" s="347">
        <v>5</v>
      </c>
      <c r="H23" s="313"/>
      <c r="I23" s="313"/>
      <c r="J23" s="314"/>
      <c r="K23" s="225"/>
      <c r="L23" s="225"/>
      <c r="M23" s="12">
        <v>500</v>
      </c>
      <c r="N23" s="221"/>
      <c r="O23" s="13">
        <f>O20*(G23/100)</f>
        <v>1.1764705882352941E-2</v>
      </c>
      <c r="P23" s="180">
        <f t="shared" si="1"/>
        <v>1.0588235294117647E-2</v>
      </c>
      <c r="Q23" s="231">
        <f>M23*P23</f>
        <v>5.2941176470588234</v>
      </c>
      <c r="R23" s="348"/>
    </row>
    <row r="24" spans="2:18" ht="15.75" x14ac:dyDescent="0.25">
      <c r="B24" s="312" t="s">
        <v>393</v>
      </c>
      <c r="C24" s="313"/>
      <c r="D24" s="313"/>
      <c r="E24" s="314"/>
      <c r="F24" s="225">
        <v>0.9</v>
      </c>
      <c r="G24" s="347">
        <v>5</v>
      </c>
      <c r="H24" s="313"/>
      <c r="I24" s="313"/>
      <c r="J24" s="314"/>
      <c r="K24" s="225"/>
      <c r="L24" s="225"/>
      <c r="M24" s="12">
        <v>500</v>
      </c>
      <c r="N24" s="221"/>
      <c r="O24" s="13">
        <f>O21*(G24/100)</f>
        <v>5.000000000000001E-3</v>
      </c>
      <c r="P24" s="180">
        <f t="shared" si="1"/>
        <v>4.5000000000000014E-3</v>
      </c>
      <c r="Q24" s="231">
        <f>M24*P24</f>
        <v>2.2500000000000009</v>
      </c>
      <c r="R24" s="348"/>
    </row>
    <row r="25" spans="2:18" ht="16.5" thickBot="1" x14ac:dyDescent="0.3">
      <c r="B25" s="194"/>
      <c r="C25" s="356" t="s">
        <v>35</v>
      </c>
      <c r="D25" s="357"/>
      <c r="E25" s="357"/>
      <c r="F25" s="357"/>
      <c r="G25" s="357"/>
      <c r="H25" s="358"/>
      <c r="I25" s="224">
        <f>SUM(I20:I21)</f>
        <v>220</v>
      </c>
      <c r="J25" s="356"/>
      <c r="K25" s="357"/>
      <c r="L25" s="357"/>
      <c r="M25" s="357"/>
      <c r="N25" s="357"/>
      <c r="O25" s="357"/>
      <c r="P25" s="357"/>
      <c r="Q25" s="232">
        <f>SUM(Q19:Q24)</f>
        <v>549.28919859943971</v>
      </c>
      <c r="R25" s="349"/>
    </row>
  </sheetData>
  <mergeCells count="56">
    <mergeCell ref="R19:R25"/>
    <mergeCell ref="B22:E22"/>
    <mergeCell ref="G22:J22"/>
    <mergeCell ref="B23:E23"/>
    <mergeCell ref="G23:J23"/>
    <mergeCell ref="B24:E24"/>
    <mergeCell ref="G24:J24"/>
    <mergeCell ref="C25:H25"/>
    <mergeCell ref="J25:P25"/>
    <mergeCell ref="Q15:Q17"/>
    <mergeCell ref="R15:R17"/>
    <mergeCell ref="H16:H17"/>
    <mergeCell ref="I16:I17"/>
    <mergeCell ref="J16:J17"/>
    <mergeCell ref="K16:K17"/>
    <mergeCell ref="L16:L17"/>
    <mergeCell ref="H15:I15"/>
    <mergeCell ref="J15:L15"/>
    <mergeCell ref="M15:M17"/>
    <mergeCell ref="N15:N17"/>
    <mergeCell ref="O15:O17"/>
    <mergeCell ref="P15:P17"/>
    <mergeCell ref="G15:G17"/>
    <mergeCell ref="B10:E10"/>
    <mergeCell ref="G10:J10"/>
    <mergeCell ref="B11:E11"/>
    <mergeCell ref="G11:J11"/>
    <mergeCell ref="C12:H12"/>
    <mergeCell ref="J12:P12"/>
    <mergeCell ref="B15:B17"/>
    <mergeCell ref="C15:C17"/>
    <mergeCell ref="D15:D17"/>
    <mergeCell ref="E15:E17"/>
    <mergeCell ref="F15:F17"/>
    <mergeCell ref="B9:E9"/>
    <mergeCell ref="G9:J9"/>
    <mergeCell ref="R6:R12"/>
    <mergeCell ref="Q2:Q4"/>
    <mergeCell ref="R2:R4"/>
    <mergeCell ref="H3:H4"/>
    <mergeCell ref="I3:I4"/>
    <mergeCell ref="J3:J4"/>
    <mergeCell ref="K3:K4"/>
    <mergeCell ref="L3:L4"/>
    <mergeCell ref="H2:I2"/>
    <mergeCell ref="J2:L2"/>
    <mergeCell ref="M2:M4"/>
    <mergeCell ref="N2:N4"/>
    <mergeCell ref="O2:O4"/>
    <mergeCell ref="P2:P4"/>
    <mergeCell ref="G2:G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D5AA-789A-47B2-9834-0DB8ACB5B5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B6EF-4455-46CB-9F1E-08721863DED4}">
  <sheetPr>
    <pageSetUpPr fitToPage="1"/>
  </sheetPr>
  <dimension ref="A1:Q178"/>
  <sheetViews>
    <sheetView topLeftCell="A72" zoomScale="55" zoomScaleNormal="55" workbookViewId="0">
      <selection activeCell="A2" sqref="A2:Q10"/>
    </sheetView>
  </sheetViews>
  <sheetFormatPr defaultRowHeight="15.75" x14ac:dyDescent="0.25"/>
  <cols>
    <col min="1" max="1" width="12.85546875" style="219" customWidth="1"/>
    <col min="2" max="2" width="21.140625" style="219" customWidth="1"/>
    <col min="3" max="3" width="14.28515625" style="219" customWidth="1"/>
    <col min="4" max="10" width="9.140625" style="219"/>
    <col min="11" max="11" width="11.5703125" style="219" customWidth="1"/>
    <col min="12" max="12" width="15.42578125" style="219" customWidth="1"/>
    <col min="13" max="13" width="15.7109375" style="219" hidden="1" customWidth="1"/>
    <col min="14" max="14" width="16.7109375" style="219" hidden="1" customWidth="1"/>
    <col min="15" max="15" width="21.28515625" style="219" customWidth="1"/>
    <col min="16" max="16" width="15.42578125" style="219" customWidth="1"/>
    <col min="17" max="17" width="14.7109375" style="219" customWidth="1"/>
    <col min="18" max="16384" width="9.140625" style="219"/>
  </cols>
  <sheetData>
    <row r="1" spans="1:17" ht="16.5" thickBot="1" x14ac:dyDescent="0.3">
      <c r="A1" s="219" t="s">
        <v>394</v>
      </c>
    </row>
    <row r="2" spans="1:17" ht="15.75" customHeight="1" x14ac:dyDescent="0.25">
      <c r="A2" s="290" t="s">
        <v>220</v>
      </c>
      <c r="B2" s="286" t="s">
        <v>1</v>
      </c>
      <c r="C2" s="286" t="s">
        <v>2</v>
      </c>
      <c r="D2" s="286" t="s">
        <v>3</v>
      </c>
      <c r="E2" s="286" t="s">
        <v>4</v>
      </c>
      <c r="F2" s="286" t="s">
        <v>5</v>
      </c>
      <c r="G2" s="286" t="s">
        <v>6</v>
      </c>
      <c r="H2" s="286"/>
      <c r="I2" s="286"/>
      <c r="J2" s="286"/>
      <c r="K2" s="286"/>
      <c r="L2" s="286" t="s">
        <v>8</v>
      </c>
      <c r="M2" s="286" t="s">
        <v>9</v>
      </c>
      <c r="N2" s="286" t="s">
        <v>10</v>
      </c>
      <c r="O2" s="354" t="s">
        <v>414</v>
      </c>
      <c r="P2" s="290" t="s">
        <v>184</v>
      </c>
      <c r="Q2" s="287" t="s">
        <v>412</v>
      </c>
    </row>
    <row r="3" spans="1:17" ht="15" customHeight="1" x14ac:dyDescent="0.25">
      <c r="A3" s="279"/>
      <c r="B3" s="278"/>
      <c r="C3" s="278"/>
      <c r="D3" s="278"/>
      <c r="E3" s="278"/>
      <c r="F3" s="278"/>
      <c r="G3" s="278" t="s">
        <v>13</v>
      </c>
      <c r="H3" s="278" t="s">
        <v>381</v>
      </c>
      <c r="I3" s="278" t="s">
        <v>15</v>
      </c>
      <c r="J3" s="278" t="s">
        <v>16</v>
      </c>
      <c r="K3" s="278" t="s">
        <v>17</v>
      </c>
      <c r="L3" s="278"/>
      <c r="M3" s="278"/>
      <c r="N3" s="278"/>
      <c r="O3" s="355"/>
      <c r="P3" s="279"/>
      <c r="Q3" s="288"/>
    </row>
    <row r="4" spans="1:17" ht="17.25" customHeight="1" x14ac:dyDescent="0.25">
      <c r="A4" s="279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355"/>
      <c r="P4" s="279"/>
      <c r="Q4" s="288"/>
    </row>
    <row r="5" spans="1:17" x14ac:dyDescent="0.25">
      <c r="A5" s="188" t="s">
        <v>18</v>
      </c>
      <c r="B5" s="213" t="s">
        <v>19</v>
      </c>
      <c r="C5" s="213"/>
      <c r="D5" s="213" t="s">
        <v>20</v>
      </c>
      <c r="E5" s="213" t="s">
        <v>21</v>
      </c>
      <c r="F5" s="213" t="s">
        <v>22</v>
      </c>
      <c r="G5" s="213" t="s">
        <v>23</v>
      </c>
      <c r="H5" s="213" t="s">
        <v>23</v>
      </c>
      <c r="I5" s="213" t="s">
        <v>24</v>
      </c>
      <c r="J5" s="213" t="s">
        <v>22</v>
      </c>
      <c r="K5" s="213" t="s">
        <v>24</v>
      </c>
      <c r="L5" s="213" t="s">
        <v>25</v>
      </c>
      <c r="M5" s="213" t="s">
        <v>25</v>
      </c>
      <c r="N5" s="213" t="s">
        <v>26</v>
      </c>
      <c r="O5" s="178" t="s">
        <v>27</v>
      </c>
      <c r="P5" s="218" t="s">
        <v>410</v>
      </c>
      <c r="Q5" s="217" t="s">
        <v>411</v>
      </c>
    </row>
    <row r="6" spans="1:17" ht="31.5" x14ac:dyDescent="0.25">
      <c r="A6" s="188">
        <v>16</v>
      </c>
      <c r="B6" s="12" t="s">
        <v>413</v>
      </c>
      <c r="C6" s="12" t="s">
        <v>172</v>
      </c>
      <c r="D6" s="213">
        <v>9003</v>
      </c>
      <c r="E6" s="213">
        <v>1.3</v>
      </c>
      <c r="F6" s="213">
        <v>50</v>
      </c>
      <c r="G6" s="16">
        <f>H6*(105)/F6</f>
        <v>126</v>
      </c>
      <c r="H6" s="213">
        <v>60</v>
      </c>
      <c r="I6" s="17">
        <f>1/(H6/(10*F6))</f>
        <v>8.3333333333333339</v>
      </c>
      <c r="J6" s="213">
        <v>30</v>
      </c>
      <c r="K6" s="17">
        <f>I6-(I6/100*J6)</f>
        <v>5.8333333333333339</v>
      </c>
      <c r="L6" s="8">
        <f>483*1.35+95</f>
        <v>747.05000000000007</v>
      </c>
      <c r="M6" s="8">
        <f>E6*L6</f>
        <v>971.16500000000008</v>
      </c>
      <c r="N6" s="9">
        <f>A6/K6</f>
        <v>2.7428571428571424</v>
      </c>
      <c r="O6" s="180">
        <f>E6*N6</f>
        <v>3.5657142857142854</v>
      </c>
      <c r="P6" s="220">
        <f>O6*L6</f>
        <v>2663.7668571428571</v>
      </c>
      <c r="Q6" s="360">
        <f>P10/A6</f>
        <v>340.68514285714281</v>
      </c>
    </row>
    <row r="7" spans="1:17" ht="31.5" x14ac:dyDescent="0.25">
      <c r="A7" s="188">
        <v>16</v>
      </c>
      <c r="B7" s="12" t="s">
        <v>413</v>
      </c>
      <c r="C7" s="12" t="s">
        <v>172</v>
      </c>
      <c r="D7" s="213">
        <v>9003</v>
      </c>
      <c r="E7" s="213">
        <v>1.3</v>
      </c>
      <c r="F7" s="213">
        <v>50</v>
      </c>
      <c r="G7" s="16">
        <f>H7*(105)/F7</f>
        <v>126</v>
      </c>
      <c r="H7" s="213">
        <v>60</v>
      </c>
      <c r="I7" s="17">
        <f>1/(H7/(10*F7))</f>
        <v>8.3333333333333339</v>
      </c>
      <c r="J7" s="213">
        <v>30</v>
      </c>
      <c r="K7" s="17">
        <f>I7-(I7/100*J7)</f>
        <v>5.8333333333333339</v>
      </c>
      <c r="L7" s="8">
        <f>483*1.35+95</f>
        <v>747.05000000000007</v>
      </c>
      <c r="M7" s="8">
        <f>E7*L7</f>
        <v>971.16500000000008</v>
      </c>
      <c r="N7" s="9">
        <f>A7/K7</f>
        <v>2.7428571428571424</v>
      </c>
      <c r="O7" s="180">
        <f>E7*N7</f>
        <v>3.5657142857142854</v>
      </c>
      <c r="P7" s="220">
        <f>O7*L7</f>
        <v>2663.7668571428571</v>
      </c>
      <c r="Q7" s="360"/>
    </row>
    <row r="8" spans="1:17" ht="16.5" customHeight="1" x14ac:dyDescent="0.25">
      <c r="A8" s="312" t="s">
        <v>393</v>
      </c>
      <c r="B8" s="313"/>
      <c r="C8" s="313"/>
      <c r="D8" s="314"/>
      <c r="E8" s="213">
        <v>0.9</v>
      </c>
      <c r="F8" s="347">
        <v>5</v>
      </c>
      <c r="G8" s="313"/>
      <c r="H8" s="313"/>
      <c r="I8" s="314"/>
      <c r="J8" s="213"/>
      <c r="K8" s="213"/>
      <c r="L8" s="12">
        <v>500</v>
      </c>
      <c r="M8" s="221"/>
      <c r="N8" s="13">
        <f>N6*(F8/100)</f>
        <v>0.13714285714285712</v>
      </c>
      <c r="O8" s="180">
        <f>E8*N8</f>
        <v>0.12342857142857142</v>
      </c>
      <c r="P8" s="220">
        <f>L8*O8</f>
        <v>61.714285714285708</v>
      </c>
      <c r="Q8" s="360"/>
    </row>
    <row r="9" spans="1:17" ht="15.75" customHeight="1" x14ac:dyDescent="0.25">
      <c r="A9" s="312" t="s">
        <v>393</v>
      </c>
      <c r="B9" s="313"/>
      <c r="C9" s="313"/>
      <c r="D9" s="314"/>
      <c r="E9" s="213">
        <v>0.9</v>
      </c>
      <c r="F9" s="347">
        <v>5</v>
      </c>
      <c r="G9" s="313"/>
      <c r="H9" s="313"/>
      <c r="I9" s="314"/>
      <c r="J9" s="213"/>
      <c r="K9" s="213"/>
      <c r="L9" s="12">
        <v>500</v>
      </c>
      <c r="M9" s="221"/>
      <c r="N9" s="13">
        <f>N7*(F9/100)</f>
        <v>0.13714285714285712</v>
      </c>
      <c r="O9" s="180">
        <f>E9*N9</f>
        <v>0.12342857142857142</v>
      </c>
      <c r="P9" s="220">
        <f>L9*O9</f>
        <v>61.714285714285708</v>
      </c>
      <c r="Q9" s="360"/>
    </row>
    <row r="10" spans="1:17" ht="16.5" thickBot="1" x14ac:dyDescent="0.3">
      <c r="A10" s="194"/>
      <c r="B10" s="356" t="s">
        <v>35</v>
      </c>
      <c r="C10" s="357"/>
      <c r="D10" s="357"/>
      <c r="E10" s="357"/>
      <c r="F10" s="357"/>
      <c r="G10" s="358"/>
      <c r="H10" s="212">
        <f>SUM(H6:H7)</f>
        <v>120</v>
      </c>
      <c r="I10" s="356"/>
      <c r="J10" s="357"/>
      <c r="K10" s="357"/>
      <c r="L10" s="357"/>
      <c r="M10" s="357"/>
      <c r="N10" s="357"/>
      <c r="O10" s="357"/>
      <c r="P10" s="222">
        <f>SUM(P6:P9)</f>
        <v>5450.9622857142849</v>
      </c>
      <c r="Q10" s="361"/>
    </row>
    <row r="12" spans="1:17" ht="16.5" thickBot="1" x14ac:dyDescent="0.3">
      <c r="A12" s="219" t="s">
        <v>395</v>
      </c>
    </row>
    <row r="13" spans="1:17" ht="15.75" customHeight="1" x14ac:dyDescent="0.25">
      <c r="A13" s="290" t="s">
        <v>220</v>
      </c>
      <c r="B13" s="286" t="s">
        <v>1</v>
      </c>
      <c r="C13" s="286" t="s">
        <v>2</v>
      </c>
      <c r="D13" s="286" t="s">
        <v>3</v>
      </c>
      <c r="E13" s="286" t="s">
        <v>4</v>
      </c>
      <c r="F13" s="286" t="s">
        <v>5</v>
      </c>
      <c r="G13" s="286" t="s">
        <v>6</v>
      </c>
      <c r="H13" s="286"/>
      <c r="I13" s="286"/>
      <c r="J13" s="286"/>
      <c r="K13" s="286"/>
      <c r="L13" s="286" t="s">
        <v>8</v>
      </c>
      <c r="M13" s="286" t="s">
        <v>9</v>
      </c>
      <c r="N13" s="286" t="s">
        <v>10</v>
      </c>
      <c r="O13" s="354" t="s">
        <v>414</v>
      </c>
      <c r="P13" s="286" t="s">
        <v>184</v>
      </c>
      <c r="Q13" s="287" t="s">
        <v>412</v>
      </c>
    </row>
    <row r="14" spans="1:17" ht="15" customHeight="1" x14ac:dyDescent="0.25">
      <c r="A14" s="279"/>
      <c r="B14" s="278"/>
      <c r="C14" s="278"/>
      <c r="D14" s="278"/>
      <c r="E14" s="278"/>
      <c r="F14" s="278"/>
      <c r="G14" s="278" t="s">
        <v>13</v>
      </c>
      <c r="H14" s="278" t="s">
        <v>381</v>
      </c>
      <c r="I14" s="278" t="s">
        <v>15</v>
      </c>
      <c r="J14" s="278" t="s">
        <v>16</v>
      </c>
      <c r="K14" s="278" t="s">
        <v>17</v>
      </c>
      <c r="L14" s="278"/>
      <c r="M14" s="278"/>
      <c r="N14" s="278"/>
      <c r="O14" s="355"/>
      <c r="P14" s="278"/>
      <c r="Q14" s="288"/>
    </row>
    <row r="15" spans="1:17" ht="15" customHeight="1" x14ac:dyDescent="0.25">
      <c r="A15" s="279"/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355"/>
      <c r="P15" s="278"/>
      <c r="Q15" s="288"/>
    </row>
    <row r="16" spans="1:17" x14ac:dyDescent="0.25">
      <c r="A16" s="188" t="s">
        <v>18</v>
      </c>
      <c r="B16" s="213" t="s">
        <v>19</v>
      </c>
      <c r="C16" s="213"/>
      <c r="D16" s="213" t="s">
        <v>20</v>
      </c>
      <c r="E16" s="213" t="s">
        <v>21</v>
      </c>
      <c r="F16" s="213" t="s">
        <v>22</v>
      </c>
      <c r="G16" s="213" t="s">
        <v>23</v>
      </c>
      <c r="H16" s="213" t="s">
        <v>23</v>
      </c>
      <c r="I16" s="213" t="s">
        <v>24</v>
      </c>
      <c r="J16" s="213" t="s">
        <v>22</v>
      </c>
      <c r="K16" s="213" t="s">
        <v>24</v>
      </c>
      <c r="L16" s="213" t="s">
        <v>25</v>
      </c>
      <c r="M16" s="213" t="s">
        <v>25</v>
      </c>
      <c r="N16" s="213" t="s">
        <v>26</v>
      </c>
      <c r="O16" s="189" t="s">
        <v>27</v>
      </c>
      <c r="P16" s="216" t="s">
        <v>410</v>
      </c>
      <c r="Q16" s="217" t="s">
        <v>411</v>
      </c>
    </row>
    <row r="17" spans="1:17" ht="31.5" x14ac:dyDescent="0.25">
      <c r="A17" s="188">
        <v>6</v>
      </c>
      <c r="B17" s="12" t="s">
        <v>413</v>
      </c>
      <c r="C17" s="12" t="s">
        <v>172</v>
      </c>
      <c r="D17" s="213">
        <v>9003</v>
      </c>
      <c r="E17" s="213">
        <v>1.3</v>
      </c>
      <c r="F17" s="213">
        <v>50</v>
      </c>
      <c r="G17" s="16">
        <f>H17*(105)/F17</f>
        <v>126</v>
      </c>
      <c r="H17" s="213">
        <v>60</v>
      </c>
      <c r="I17" s="17">
        <f>1/(H17/(10*F17))</f>
        <v>8.3333333333333339</v>
      </c>
      <c r="J17" s="213">
        <v>30</v>
      </c>
      <c r="K17" s="17">
        <f>I17-(I17/100*J17)</f>
        <v>5.8333333333333339</v>
      </c>
      <c r="L17" s="8">
        <f>483*1.35+95</f>
        <v>747.05000000000007</v>
      </c>
      <c r="M17" s="8">
        <f>E17*L17</f>
        <v>971.16500000000008</v>
      </c>
      <c r="N17" s="9">
        <f>A17/K17</f>
        <v>1.0285714285714285</v>
      </c>
      <c r="O17" s="209">
        <f>E17*N17</f>
        <v>1.337142857142857</v>
      </c>
      <c r="P17" s="18">
        <f>O17*L17</f>
        <v>998.91257142857137</v>
      </c>
      <c r="Q17" s="360">
        <f>P21/A17</f>
        <v>332.97085714285714</v>
      </c>
    </row>
    <row r="18" spans="1:17" ht="31.5" x14ac:dyDescent="0.25">
      <c r="A18" s="188">
        <v>6</v>
      </c>
      <c r="B18" s="12" t="s">
        <v>413</v>
      </c>
      <c r="C18" s="12" t="s">
        <v>172</v>
      </c>
      <c r="D18" s="213">
        <v>9003</v>
      </c>
      <c r="E18" s="213">
        <v>1.3</v>
      </c>
      <c r="F18" s="213">
        <v>50</v>
      </c>
      <c r="G18" s="16">
        <f>H18*(105)/F18</f>
        <v>126</v>
      </c>
      <c r="H18" s="213">
        <v>60</v>
      </c>
      <c r="I18" s="17">
        <f>1/(H18/(10*F18))</f>
        <v>8.3333333333333339</v>
      </c>
      <c r="J18" s="213">
        <v>30</v>
      </c>
      <c r="K18" s="17">
        <f>I18-(I18/100*J18)</f>
        <v>5.8333333333333339</v>
      </c>
      <c r="L18" s="8">
        <f>483*1.35+95</f>
        <v>747.05000000000007</v>
      </c>
      <c r="M18" s="8">
        <f>E18*L18</f>
        <v>971.16500000000008</v>
      </c>
      <c r="N18" s="9">
        <f>A18/K18</f>
        <v>1.0285714285714285</v>
      </c>
      <c r="O18" s="209">
        <f>E18*N18</f>
        <v>1.337142857142857</v>
      </c>
      <c r="P18" s="18">
        <f>O18*L18</f>
        <v>998.91257142857137</v>
      </c>
      <c r="Q18" s="360"/>
    </row>
    <row r="19" spans="1:17" x14ac:dyDescent="0.25">
      <c r="A19" s="312" t="s">
        <v>393</v>
      </c>
      <c r="B19" s="313"/>
      <c r="C19" s="313"/>
      <c r="D19" s="314"/>
      <c r="E19" s="213">
        <v>0.9</v>
      </c>
      <c r="F19" s="347">
        <v>5</v>
      </c>
      <c r="G19" s="313"/>
      <c r="H19" s="313"/>
      <c r="I19" s="314"/>
      <c r="J19" s="213"/>
      <c r="K19" s="213"/>
      <c r="L19" s="12"/>
      <c r="M19" s="12">
        <v>500</v>
      </c>
      <c r="N19" s="13">
        <f>N17*(F19/100)</f>
        <v>5.1428571428571428E-2</v>
      </c>
      <c r="O19" s="209">
        <f>E19*N19</f>
        <v>4.6285714285714284E-2</v>
      </c>
      <c r="P19" s="18">
        <f>L19*O19</f>
        <v>0</v>
      </c>
      <c r="Q19" s="360"/>
    </row>
    <row r="20" spans="1:17" x14ac:dyDescent="0.25">
      <c r="A20" s="312" t="s">
        <v>393</v>
      </c>
      <c r="B20" s="313"/>
      <c r="C20" s="313"/>
      <c r="D20" s="314"/>
      <c r="E20" s="213">
        <v>0.9</v>
      </c>
      <c r="F20" s="347">
        <v>5</v>
      </c>
      <c r="G20" s="313"/>
      <c r="H20" s="313"/>
      <c r="I20" s="314"/>
      <c r="J20" s="213"/>
      <c r="K20" s="213"/>
      <c r="L20" s="12"/>
      <c r="M20" s="12">
        <v>500</v>
      </c>
      <c r="N20" s="13">
        <f>N18*(F20/100)</f>
        <v>5.1428571428571428E-2</v>
      </c>
      <c r="O20" s="209">
        <f>E20*N20</f>
        <v>4.6285714285714284E-2</v>
      </c>
      <c r="P20" s="18">
        <f>L20*O20</f>
        <v>0</v>
      </c>
      <c r="Q20" s="360"/>
    </row>
    <row r="21" spans="1:17" ht="16.5" thickBot="1" x14ac:dyDescent="0.3">
      <c r="A21" s="194"/>
      <c r="B21" s="356" t="s">
        <v>35</v>
      </c>
      <c r="C21" s="357"/>
      <c r="D21" s="357"/>
      <c r="E21" s="357"/>
      <c r="F21" s="357"/>
      <c r="G21" s="358"/>
      <c r="H21" s="212">
        <f>SUM(H17:H18)</f>
        <v>120</v>
      </c>
      <c r="I21" s="356"/>
      <c r="J21" s="357"/>
      <c r="K21" s="357"/>
      <c r="L21" s="357"/>
      <c r="M21" s="357"/>
      <c r="N21" s="357"/>
      <c r="O21" s="359"/>
      <c r="P21" s="223">
        <f>SUM(P17:P20)</f>
        <v>1997.8251428571427</v>
      </c>
      <c r="Q21" s="361"/>
    </row>
    <row r="23" spans="1:17" ht="16.5" thickBot="1" x14ac:dyDescent="0.3">
      <c r="A23" s="219" t="s">
        <v>396</v>
      </c>
    </row>
    <row r="24" spans="1:17" ht="15.75" customHeight="1" x14ac:dyDescent="0.25">
      <c r="A24" s="290" t="s">
        <v>220</v>
      </c>
      <c r="B24" s="286" t="s">
        <v>1</v>
      </c>
      <c r="C24" s="286" t="s">
        <v>2</v>
      </c>
      <c r="D24" s="286" t="s">
        <v>3</v>
      </c>
      <c r="E24" s="286" t="s">
        <v>4</v>
      </c>
      <c r="F24" s="286" t="s">
        <v>5</v>
      </c>
      <c r="G24" s="286" t="s">
        <v>6</v>
      </c>
      <c r="H24" s="286"/>
      <c r="I24" s="286"/>
      <c r="J24" s="286"/>
      <c r="K24" s="286"/>
      <c r="L24" s="286" t="s">
        <v>8</v>
      </c>
      <c r="M24" s="286" t="s">
        <v>9</v>
      </c>
      <c r="N24" s="286" t="s">
        <v>10</v>
      </c>
      <c r="O24" s="354" t="s">
        <v>414</v>
      </c>
      <c r="P24" s="286" t="s">
        <v>184</v>
      </c>
      <c r="Q24" s="287" t="s">
        <v>412</v>
      </c>
    </row>
    <row r="25" spans="1:17" ht="15" customHeight="1" x14ac:dyDescent="0.25">
      <c r="A25" s="279"/>
      <c r="B25" s="278"/>
      <c r="C25" s="278"/>
      <c r="D25" s="278"/>
      <c r="E25" s="278"/>
      <c r="F25" s="278"/>
      <c r="G25" s="278" t="s">
        <v>13</v>
      </c>
      <c r="H25" s="278" t="s">
        <v>381</v>
      </c>
      <c r="I25" s="278" t="s">
        <v>15</v>
      </c>
      <c r="J25" s="278" t="s">
        <v>16</v>
      </c>
      <c r="K25" s="278" t="s">
        <v>17</v>
      </c>
      <c r="L25" s="278"/>
      <c r="M25" s="278"/>
      <c r="N25" s="278"/>
      <c r="O25" s="355"/>
      <c r="P25" s="278"/>
      <c r="Q25" s="288"/>
    </row>
    <row r="26" spans="1:17" ht="15" customHeight="1" x14ac:dyDescent="0.25">
      <c r="A26" s="279"/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355"/>
      <c r="P26" s="278"/>
      <c r="Q26" s="288"/>
    </row>
    <row r="27" spans="1:17" x14ac:dyDescent="0.25">
      <c r="A27" s="188" t="s">
        <v>18</v>
      </c>
      <c r="B27" s="213" t="s">
        <v>19</v>
      </c>
      <c r="C27" s="213"/>
      <c r="D27" s="213" t="s">
        <v>20</v>
      </c>
      <c r="E27" s="213" t="s">
        <v>21</v>
      </c>
      <c r="F27" s="213" t="s">
        <v>22</v>
      </c>
      <c r="G27" s="213" t="s">
        <v>23</v>
      </c>
      <c r="H27" s="213" t="s">
        <v>23</v>
      </c>
      <c r="I27" s="213" t="s">
        <v>24</v>
      </c>
      <c r="J27" s="213" t="s">
        <v>22</v>
      </c>
      <c r="K27" s="213" t="s">
        <v>24</v>
      </c>
      <c r="L27" s="213" t="s">
        <v>25</v>
      </c>
      <c r="M27" s="213" t="s">
        <v>25</v>
      </c>
      <c r="N27" s="213" t="s">
        <v>26</v>
      </c>
      <c r="O27" s="189" t="s">
        <v>27</v>
      </c>
      <c r="P27" s="216" t="s">
        <v>410</v>
      </c>
      <c r="Q27" s="217" t="s">
        <v>411</v>
      </c>
    </row>
    <row r="28" spans="1:17" ht="31.5" x14ac:dyDescent="0.25">
      <c r="A28" s="188">
        <v>6</v>
      </c>
      <c r="B28" s="12" t="s">
        <v>413</v>
      </c>
      <c r="C28" s="12" t="s">
        <v>172</v>
      </c>
      <c r="D28" s="213">
        <v>1003</v>
      </c>
      <c r="E28" s="213">
        <v>1.3</v>
      </c>
      <c r="F28" s="213">
        <v>50</v>
      </c>
      <c r="G28" s="16">
        <f>H28*(105)/F28</f>
        <v>126</v>
      </c>
      <c r="H28" s="213">
        <v>60</v>
      </c>
      <c r="I28" s="17">
        <f>1/(H28/(10*F28))</f>
        <v>8.3333333333333339</v>
      </c>
      <c r="J28" s="213">
        <v>30</v>
      </c>
      <c r="K28" s="17">
        <f>I28-(I28/100*J28)</f>
        <v>5.8333333333333339</v>
      </c>
      <c r="L28" s="8">
        <f>543*1.35+95</f>
        <v>828.05000000000007</v>
      </c>
      <c r="M28" s="8">
        <f>E28*L28</f>
        <v>1076.4650000000001</v>
      </c>
      <c r="N28" s="9">
        <f>A28/K28</f>
        <v>1.0285714285714285</v>
      </c>
      <c r="O28" s="209">
        <f>E28*N28</f>
        <v>1.337142857142857</v>
      </c>
      <c r="P28" s="18">
        <f>O28*L28</f>
        <v>1107.2211428571427</v>
      </c>
      <c r="Q28" s="360">
        <f>P32/A28</f>
        <v>369.07371428571423</v>
      </c>
    </row>
    <row r="29" spans="1:17" ht="31.5" x14ac:dyDescent="0.25">
      <c r="A29" s="188">
        <v>6</v>
      </c>
      <c r="B29" s="12" t="s">
        <v>413</v>
      </c>
      <c r="C29" s="12" t="s">
        <v>172</v>
      </c>
      <c r="D29" s="213">
        <v>1003</v>
      </c>
      <c r="E29" s="213">
        <v>1.3</v>
      </c>
      <c r="F29" s="213">
        <v>50</v>
      </c>
      <c r="G29" s="16">
        <f>H29*(105)/F29</f>
        <v>126</v>
      </c>
      <c r="H29" s="213">
        <v>60</v>
      </c>
      <c r="I29" s="17">
        <f>1/(H29/(10*F29))</f>
        <v>8.3333333333333339</v>
      </c>
      <c r="J29" s="213">
        <v>30</v>
      </c>
      <c r="K29" s="17">
        <f>I29-(I29/100*J29)</f>
        <v>5.8333333333333339</v>
      </c>
      <c r="L29" s="8">
        <f>543*1.35+95</f>
        <v>828.05000000000007</v>
      </c>
      <c r="M29" s="8">
        <f>E29*L29</f>
        <v>1076.4650000000001</v>
      </c>
      <c r="N29" s="9">
        <f>A29/K29</f>
        <v>1.0285714285714285</v>
      </c>
      <c r="O29" s="209">
        <f>E29*N29</f>
        <v>1.337142857142857</v>
      </c>
      <c r="P29" s="18">
        <f>O29*L29</f>
        <v>1107.2211428571427</v>
      </c>
      <c r="Q29" s="360"/>
    </row>
    <row r="30" spans="1:17" x14ac:dyDescent="0.25">
      <c r="A30" s="312" t="s">
        <v>393</v>
      </c>
      <c r="B30" s="313"/>
      <c r="C30" s="313"/>
      <c r="D30" s="314"/>
      <c r="E30" s="213">
        <v>0.9</v>
      </c>
      <c r="F30" s="347">
        <v>5</v>
      </c>
      <c r="G30" s="313"/>
      <c r="H30" s="313"/>
      <c r="I30" s="314"/>
      <c r="J30" s="213"/>
      <c r="K30" s="213"/>
      <c r="L30" s="12"/>
      <c r="M30" s="12">
        <v>500</v>
      </c>
      <c r="N30" s="13">
        <f>N28*(F30/100)</f>
        <v>5.1428571428571428E-2</v>
      </c>
      <c r="O30" s="209">
        <f>E30*N30</f>
        <v>4.6285714285714284E-2</v>
      </c>
      <c r="P30" s="18">
        <f>L30*O30</f>
        <v>0</v>
      </c>
      <c r="Q30" s="360"/>
    </row>
    <row r="31" spans="1:17" x14ac:dyDescent="0.25">
      <c r="A31" s="312" t="s">
        <v>393</v>
      </c>
      <c r="B31" s="313"/>
      <c r="C31" s="313"/>
      <c r="D31" s="314"/>
      <c r="E31" s="213">
        <v>0.9</v>
      </c>
      <c r="F31" s="347">
        <v>5</v>
      </c>
      <c r="G31" s="313"/>
      <c r="H31" s="313"/>
      <c r="I31" s="314"/>
      <c r="J31" s="213"/>
      <c r="K31" s="213"/>
      <c r="L31" s="12"/>
      <c r="M31" s="12">
        <v>500</v>
      </c>
      <c r="N31" s="13">
        <f>N29*(F31/100)</f>
        <v>5.1428571428571428E-2</v>
      </c>
      <c r="O31" s="209">
        <f>E31*N31</f>
        <v>4.6285714285714284E-2</v>
      </c>
      <c r="P31" s="18">
        <f>L31*O31</f>
        <v>0</v>
      </c>
      <c r="Q31" s="360"/>
    </row>
    <row r="32" spans="1:17" ht="16.5" thickBot="1" x14ac:dyDescent="0.3">
      <c r="A32" s="194"/>
      <c r="B32" s="356" t="s">
        <v>35</v>
      </c>
      <c r="C32" s="357"/>
      <c r="D32" s="357"/>
      <c r="E32" s="357"/>
      <c r="F32" s="357"/>
      <c r="G32" s="358"/>
      <c r="H32" s="212">
        <f>SUM(H28:H29)</f>
        <v>120</v>
      </c>
      <c r="I32" s="356"/>
      <c r="J32" s="357"/>
      <c r="K32" s="357"/>
      <c r="L32" s="357"/>
      <c r="M32" s="357"/>
      <c r="N32" s="357"/>
      <c r="O32" s="359"/>
      <c r="P32" s="223">
        <f>SUM(P28:P31)</f>
        <v>2214.4422857142854</v>
      </c>
      <c r="Q32" s="361"/>
    </row>
    <row r="33" spans="1:17" ht="138.75" customHeight="1" x14ac:dyDescent="0.25"/>
    <row r="34" spans="1:17" ht="16.5" thickBot="1" x14ac:dyDescent="0.3">
      <c r="A34" s="219" t="s">
        <v>397</v>
      </c>
    </row>
    <row r="35" spans="1:17" ht="15.75" customHeight="1" x14ac:dyDescent="0.25">
      <c r="A35" s="290" t="s">
        <v>220</v>
      </c>
      <c r="B35" s="286" t="s">
        <v>1</v>
      </c>
      <c r="C35" s="286" t="s">
        <v>2</v>
      </c>
      <c r="D35" s="286" t="s">
        <v>3</v>
      </c>
      <c r="E35" s="286" t="s">
        <v>4</v>
      </c>
      <c r="F35" s="286" t="s">
        <v>5</v>
      </c>
      <c r="G35" s="286" t="s">
        <v>6</v>
      </c>
      <c r="H35" s="286"/>
      <c r="I35" s="286"/>
      <c r="J35" s="286"/>
      <c r="K35" s="286"/>
      <c r="L35" s="286" t="s">
        <v>8</v>
      </c>
      <c r="M35" s="286" t="s">
        <v>9</v>
      </c>
      <c r="N35" s="286" t="s">
        <v>10</v>
      </c>
      <c r="O35" s="354" t="s">
        <v>414</v>
      </c>
      <c r="P35" s="286" t="s">
        <v>184</v>
      </c>
      <c r="Q35" s="287" t="s">
        <v>412</v>
      </c>
    </row>
    <row r="36" spans="1:17" ht="15" customHeight="1" x14ac:dyDescent="0.25">
      <c r="A36" s="279"/>
      <c r="B36" s="278"/>
      <c r="C36" s="278"/>
      <c r="D36" s="278"/>
      <c r="E36" s="278"/>
      <c r="F36" s="278"/>
      <c r="G36" s="278" t="s">
        <v>13</v>
      </c>
      <c r="H36" s="278" t="s">
        <v>381</v>
      </c>
      <c r="I36" s="278" t="s">
        <v>15</v>
      </c>
      <c r="J36" s="278" t="s">
        <v>16</v>
      </c>
      <c r="K36" s="278" t="s">
        <v>17</v>
      </c>
      <c r="L36" s="278"/>
      <c r="M36" s="278"/>
      <c r="N36" s="278"/>
      <c r="O36" s="355"/>
      <c r="P36" s="278"/>
      <c r="Q36" s="288"/>
    </row>
    <row r="37" spans="1:17" ht="15" customHeight="1" x14ac:dyDescent="0.25">
      <c r="A37" s="279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355"/>
      <c r="P37" s="278"/>
      <c r="Q37" s="288"/>
    </row>
    <row r="38" spans="1:17" x14ac:dyDescent="0.25">
      <c r="A38" s="188" t="s">
        <v>18</v>
      </c>
      <c r="B38" s="213" t="s">
        <v>19</v>
      </c>
      <c r="C38" s="213"/>
      <c r="D38" s="213" t="s">
        <v>20</v>
      </c>
      <c r="E38" s="213" t="s">
        <v>21</v>
      </c>
      <c r="F38" s="213" t="s">
        <v>22</v>
      </c>
      <c r="G38" s="213" t="s">
        <v>23</v>
      </c>
      <c r="H38" s="213" t="s">
        <v>23</v>
      </c>
      <c r="I38" s="213" t="s">
        <v>24</v>
      </c>
      <c r="J38" s="213" t="s">
        <v>22</v>
      </c>
      <c r="K38" s="213" t="s">
        <v>24</v>
      </c>
      <c r="L38" s="213" t="s">
        <v>25</v>
      </c>
      <c r="M38" s="213" t="s">
        <v>25</v>
      </c>
      <c r="N38" s="213" t="s">
        <v>26</v>
      </c>
      <c r="O38" s="189" t="s">
        <v>27</v>
      </c>
      <c r="P38" s="216" t="s">
        <v>410</v>
      </c>
      <c r="Q38" s="217" t="s">
        <v>411</v>
      </c>
    </row>
    <row r="39" spans="1:17" ht="31.5" x14ac:dyDescent="0.25">
      <c r="A39" s="188">
        <v>50</v>
      </c>
      <c r="B39" s="12" t="s">
        <v>413</v>
      </c>
      <c r="C39" s="12" t="s">
        <v>172</v>
      </c>
      <c r="D39" s="213">
        <v>7035</v>
      </c>
      <c r="E39" s="213">
        <v>1.3</v>
      </c>
      <c r="F39" s="213">
        <v>50</v>
      </c>
      <c r="G39" s="16">
        <f>H39*(105)/F39</f>
        <v>126</v>
      </c>
      <c r="H39" s="213">
        <v>60</v>
      </c>
      <c r="I39" s="17">
        <f>1/(H39/(10*F39))</f>
        <v>8.3333333333333339</v>
      </c>
      <c r="J39" s="213">
        <v>30</v>
      </c>
      <c r="K39" s="17">
        <f>I39-(I39/100*J39)</f>
        <v>5.8333333333333339</v>
      </c>
      <c r="L39" s="8">
        <f>361*1.35+95</f>
        <v>582.35</v>
      </c>
      <c r="M39" s="8">
        <f>E39*L39</f>
        <v>757.05500000000006</v>
      </c>
      <c r="N39" s="9">
        <f>A39/K39</f>
        <v>8.5714285714285712</v>
      </c>
      <c r="O39" s="209">
        <f>E39*N39</f>
        <v>11.142857142857142</v>
      </c>
      <c r="P39" s="18">
        <f>O39*L39</f>
        <v>6489.0428571428574</v>
      </c>
      <c r="Q39" s="360">
        <f>P43/A39</f>
        <v>259.56171428571429</v>
      </c>
    </row>
    <row r="40" spans="1:17" ht="31.5" x14ac:dyDescent="0.25">
      <c r="A40" s="188">
        <v>50</v>
      </c>
      <c r="B40" s="12" t="s">
        <v>413</v>
      </c>
      <c r="C40" s="12" t="s">
        <v>172</v>
      </c>
      <c r="D40" s="213">
        <v>7035</v>
      </c>
      <c r="E40" s="213">
        <v>1.3</v>
      </c>
      <c r="F40" s="213">
        <v>50</v>
      </c>
      <c r="G40" s="16">
        <f>H40*(105)/F40</f>
        <v>126</v>
      </c>
      <c r="H40" s="213">
        <v>60</v>
      </c>
      <c r="I40" s="17">
        <f>1/(H40/(10*F40))</f>
        <v>8.3333333333333339</v>
      </c>
      <c r="J40" s="213">
        <v>30</v>
      </c>
      <c r="K40" s="17">
        <f>I40-(I40/100*J40)</f>
        <v>5.8333333333333339</v>
      </c>
      <c r="L40" s="8">
        <f>361*1.35+95</f>
        <v>582.35</v>
      </c>
      <c r="M40" s="8">
        <f>E40*L40</f>
        <v>757.05500000000006</v>
      </c>
      <c r="N40" s="9">
        <f>A40/K40</f>
        <v>8.5714285714285712</v>
      </c>
      <c r="O40" s="209">
        <f>E40*N40</f>
        <v>11.142857142857142</v>
      </c>
      <c r="P40" s="18">
        <f>O40*L40</f>
        <v>6489.0428571428574</v>
      </c>
      <c r="Q40" s="360"/>
    </row>
    <row r="41" spans="1:17" x14ac:dyDescent="0.25">
      <c r="A41" s="312" t="s">
        <v>393</v>
      </c>
      <c r="B41" s="313"/>
      <c r="C41" s="313"/>
      <c r="D41" s="314"/>
      <c r="E41" s="213">
        <v>0.9</v>
      </c>
      <c r="F41" s="347">
        <v>5</v>
      </c>
      <c r="G41" s="313"/>
      <c r="H41" s="313"/>
      <c r="I41" s="314"/>
      <c r="J41" s="213"/>
      <c r="K41" s="213"/>
      <c r="L41" s="12"/>
      <c r="M41" s="12">
        <v>500</v>
      </c>
      <c r="N41" s="13">
        <f>N39*(F41/100)</f>
        <v>0.4285714285714286</v>
      </c>
      <c r="O41" s="209">
        <f>E41*N41</f>
        <v>0.38571428571428573</v>
      </c>
      <c r="P41" s="18">
        <f>L41*O41</f>
        <v>0</v>
      </c>
      <c r="Q41" s="360"/>
    </row>
    <row r="42" spans="1:17" x14ac:dyDescent="0.25">
      <c r="A42" s="312" t="s">
        <v>393</v>
      </c>
      <c r="B42" s="313"/>
      <c r="C42" s="313"/>
      <c r="D42" s="314"/>
      <c r="E42" s="213">
        <v>0.9</v>
      </c>
      <c r="F42" s="347">
        <v>5</v>
      </c>
      <c r="G42" s="313"/>
      <c r="H42" s="313"/>
      <c r="I42" s="314"/>
      <c r="J42" s="213"/>
      <c r="K42" s="213"/>
      <c r="L42" s="12"/>
      <c r="M42" s="12">
        <v>500</v>
      </c>
      <c r="N42" s="13">
        <f>N40*(F42/100)</f>
        <v>0.4285714285714286</v>
      </c>
      <c r="O42" s="209">
        <f>E42*N42</f>
        <v>0.38571428571428573</v>
      </c>
      <c r="P42" s="18">
        <f>L42*O42</f>
        <v>0</v>
      </c>
      <c r="Q42" s="360"/>
    </row>
    <row r="43" spans="1:17" ht="16.5" thickBot="1" x14ac:dyDescent="0.3">
      <c r="A43" s="194"/>
      <c r="B43" s="356" t="s">
        <v>35</v>
      </c>
      <c r="C43" s="357"/>
      <c r="D43" s="357"/>
      <c r="E43" s="357"/>
      <c r="F43" s="357"/>
      <c r="G43" s="358"/>
      <c r="H43" s="212">
        <f>SUM(H39:H40)</f>
        <v>120</v>
      </c>
      <c r="I43" s="356"/>
      <c r="J43" s="357"/>
      <c r="K43" s="357"/>
      <c r="L43" s="357"/>
      <c r="M43" s="357"/>
      <c r="N43" s="357"/>
      <c r="O43" s="359"/>
      <c r="P43" s="223">
        <f>SUM(P39:P42)</f>
        <v>12978.085714285715</v>
      </c>
      <c r="Q43" s="361"/>
    </row>
    <row r="45" spans="1:17" ht="16.5" thickBot="1" x14ac:dyDescent="0.3">
      <c r="A45" s="219" t="s">
        <v>398</v>
      </c>
    </row>
    <row r="46" spans="1:17" ht="15.75" customHeight="1" x14ac:dyDescent="0.25">
      <c r="A46" s="290" t="s">
        <v>220</v>
      </c>
      <c r="B46" s="286" t="s">
        <v>1</v>
      </c>
      <c r="C46" s="286" t="s">
        <v>2</v>
      </c>
      <c r="D46" s="286" t="s">
        <v>3</v>
      </c>
      <c r="E46" s="286" t="s">
        <v>4</v>
      </c>
      <c r="F46" s="286" t="s">
        <v>5</v>
      </c>
      <c r="G46" s="286" t="s">
        <v>6</v>
      </c>
      <c r="H46" s="286"/>
      <c r="I46" s="286"/>
      <c r="J46" s="286"/>
      <c r="K46" s="286"/>
      <c r="L46" s="286" t="s">
        <v>8</v>
      </c>
      <c r="M46" s="286" t="s">
        <v>9</v>
      </c>
      <c r="N46" s="286" t="s">
        <v>10</v>
      </c>
      <c r="O46" s="354" t="s">
        <v>414</v>
      </c>
      <c r="P46" s="286" t="s">
        <v>184</v>
      </c>
      <c r="Q46" s="287" t="s">
        <v>412</v>
      </c>
    </row>
    <row r="47" spans="1:17" ht="15" customHeight="1" x14ac:dyDescent="0.25">
      <c r="A47" s="279"/>
      <c r="B47" s="278"/>
      <c r="C47" s="278"/>
      <c r="D47" s="278"/>
      <c r="E47" s="278"/>
      <c r="F47" s="278"/>
      <c r="G47" s="278" t="s">
        <v>13</v>
      </c>
      <c r="H47" s="278" t="s">
        <v>381</v>
      </c>
      <c r="I47" s="278" t="s">
        <v>15</v>
      </c>
      <c r="J47" s="278" t="s">
        <v>16</v>
      </c>
      <c r="K47" s="278" t="s">
        <v>17</v>
      </c>
      <c r="L47" s="278"/>
      <c r="M47" s="278"/>
      <c r="N47" s="278"/>
      <c r="O47" s="355"/>
      <c r="P47" s="278"/>
      <c r="Q47" s="288"/>
    </row>
    <row r="48" spans="1:17" ht="15" customHeight="1" x14ac:dyDescent="0.25">
      <c r="A48" s="279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355"/>
      <c r="P48" s="278"/>
      <c r="Q48" s="288"/>
    </row>
    <row r="49" spans="1:17" x14ac:dyDescent="0.25">
      <c r="A49" s="188" t="s">
        <v>18</v>
      </c>
      <c r="B49" s="213" t="s">
        <v>19</v>
      </c>
      <c r="C49" s="213"/>
      <c r="D49" s="213" t="s">
        <v>20</v>
      </c>
      <c r="E49" s="213" t="s">
        <v>21</v>
      </c>
      <c r="F49" s="213" t="s">
        <v>22</v>
      </c>
      <c r="G49" s="213" t="s">
        <v>23</v>
      </c>
      <c r="H49" s="213" t="s">
        <v>23</v>
      </c>
      <c r="I49" s="213" t="s">
        <v>24</v>
      </c>
      <c r="J49" s="213" t="s">
        <v>22</v>
      </c>
      <c r="K49" s="213" t="s">
        <v>24</v>
      </c>
      <c r="L49" s="213" t="s">
        <v>25</v>
      </c>
      <c r="M49" s="213" t="s">
        <v>25</v>
      </c>
      <c r="N49" s="213" t="s">
        <v>26</v>
      </c>
      <c r="O49" s="189" t="s">
        <v>27</v>
      </c>
      <c r="P49" s="216" t="s">
        <v>410</v>
      </c>
      <c r="Q49" s="217" t="s">
        <v>411</v>
      </c>
    </row>
    <row r="50" spans="1:17" ht="31.5" x14ac:dyDescent="0.25">
      <c r="A50" s="188">
        <v>12</v>
      </c>
      <c r="B50" s="12" t="s">
        <v>413</v>
      </c>
      <c r="C50" s="12" t="s">
        <v>172</v>
      </c>
      <c r="D50" s="213">
        <v>9005</v>
      </c>
      <c r="E50" s="213">
        <v>1.3</v>
      </c>
      <c r="F50" s="213">
        <v>50</v>
      </c>
      <c r="G50" s="16">
        <f>H50*(105)/F50</f>
        <v>126</v>
      </c>
      <c r="H50" s="213">
        <v>60</v>
      </c>
      <c r="I50" s="17">
        <f>1/(H50/(10*F50))</f>
        <v>8.3333333333333339</v>
      </c>
      <c r="J50" s="213">
        <v>30</v>
      </c>
      <c r="K50" s="17">
        <f>I50-(I50/100*J50)</f>
        <v>5.8333333333333339</v>
      </c>
      <c r="L50" s="8">
        <f>626*1.35+95</f>
        <v>940.1</v>
      </c>
      <c r="M50" s="8">
        <f>E50*L50</f>
        <v>1222.1300000000001</v>
      </c>
      <c r="N50" s="9">
        <f>A50/K50</f>
        <v>2.0571428571428569</v>
      </c>
      <c r="O50" s="209">
        <f>E50*N50</f>
        <v>2.6742857142857139</v>
      </c>
      <c r="P50" s="18">
        <f>O50*L50</f>
        <v>2514.0959999999995</v>
      </c>
      <c r="Q50" s="360">
        <f>P54/A50</f>
        <v>419.01599999999991</v>
      </c>
    </row>
    <row r="51" spans="1:17" ht="31.5" x14ac:dyDescent="0.25">
      <c r="A51" s="188">
        <v>12</v>
      </c>
      <c r="B51" s="12" t="s">
        <v>413</v>
      </c>
      <c r="C51" s="12" t="s">
        <v>172</v>
      </c>
      <c r="D51" s="213">
        <v>9005</v>
      </c>
      <c r="E51" s="213">
        <v>1.3</v>
      </c>
      <c r="F51" s="213">
        <v>50</v>
      </c>
      <c r="G51" s="16">
        <f>H51*(105)/F51</f>
        <v>126</v>
      </c>
      <c r="H51" s="213">
        <v>60</v>
      </c>
      <c r="I51" s="17">
        <f>1/(H51/(10*F51))</f>
        <v>8.3333333333333339</v>
      </c>
      <c r="J51" s="213">
        <v>30</v>
      </c>
      <c r="K51" s="17">
        <f>I51-(I51/100*J51)</f>
        <v>5.8333333333333339</v>
      </c>
      <c r="L51" s="8">
        <f>626*1.35+95</f>
        <v>940.1</v>
      </c>
      <c r="M51" s="8">
        <f>E51*L51</f>
        <v>1222.1300000000001</v>
      </c>
      <c r="N51" s="9">
        <f>A51/K51</f>
        <v>2.0571428571428569</v>
      </c>
      <c r="O51" s="209">
        <f>E51*N51</f>
        <v>2.6742857142857139</v>
      </c>
      <c r="P51" s="18">
        <f>O51*L51</f>
        <v>2514.0959999999995</v>
      </c>
      <c r="Q51" s="360"/>
    </row>
    <row r="52" spans="1:17" x14ac:dyDescent="0.25">
      <c r="A52" s="312" t="s">
        <v>393</v>
      </c>
      <c r="B52" s="313"/>
      <c r="C52" s="313"/>
      <c r="D52" s="314"/>
      <c r="E52" s="213">
        <v>0.9</v>
      </c>
      <c r="F52" s="347">
        <v>5</v>
      </c>
      <c r="G52" s="313"/>
      <c r="H52" s="313"/>
      <c r="I52" s="314"/>
      <c r="J52" s="213"/>
      <c r="K52" s="213"/>
      <c r="L52" s="12"/>
      <c r="M52" s="12">
        <v>500</v>
      </c>
      <c r="N52" s="13">
        <f>N50*(F52/100)</f>
        <v>0.10285714285714286</v>
      </c>
      <c r="O52" s="209">
        <f>E52*N52</f>
        <v>9.2571428571428568E-2</v>
      </c>
      <c r="P52" s="18">
        <f>L52*O52</f>
        <v>0</v>
      </c>
      <c r="Q52" s="360"/>
    </row>
    <row r="53" spans="1:17" x14ac:dyDescent="0.25">
      <c r="A53" s="312" t="s">
        <v>393</v>
      </c>
      <c r="B53" s="313"/>
      <c r="C53" s="313"/>
      <c r="D53" s="314"/>
      <c r="E53" s="213">
        <v>0.9</v>
      </c>
      <c r="F53" s="347">
        <v>5</v>
      </c>
      <c r="G53" s="313"/>
      <c r="H53" s="313"/>
      <c r="I53" s="314"/>
      <c r="J53" s="213"/>
      <c r="K53" s="213"/>
      <c r="L53" s="12"/>
      <c r="M53" s="12">
        <v>500</v>
      </c>
      <c r="N53" s="13">
        <f>N51*(F53/100)</f>
        <v>0.10285714285714286</v>
      </c>
      <c r="O53" s="209">
        <f>E53*N53</f>
        <v>9.2571428571428568E-2</v>
      </c>
      <c r="P53" s="18">
        <f>L53*O53</f>
        <v>0</v>
      </c>
      <c r="Q53" s="360"/>
    </row>
    <row r="54" spans="1:17" ht="16.5" thickBot="1" x14ac:dyDescent="0.3">
      <c r="A54" s="194"/>
      <c r="B54" s="356" t="s">
        <v>35</v>
      </c>
      <c r="C54" s="357"/>
      <c r="D54" s="357"/>
      <c r="E54" s="357"/>
      <c r="F54" s="357"/>
      <c r="G54" s="358"/>
      <c r="H54" s="212">
        <f>SUM(H50:H51)</f>
        <v>120</v>
      </c>
      <c r="I54" s="356"/>
      <c r="J54" s="357"/>
      <c r="K54" s="357"/>
      <c r="L54" s="357"/>
      <c r="M54" s="357"/>
      <c r="N54" s="357"/>
      <c r="O54" s="359"/>
      <c r="P54" s="223">
        <f>SUM(P50:P53)</f>
        <v>5028.1919999999991</v>
      </c>
      <c r="Q54" s="361"/>
    </row>
    <row r="56" spans="1:17" ht="16.5" thickBot="1" x14ac:dyDescent="0.3">
      <c r="A56" s="219" t="s">
        <v>399</v>
      </c>
    </row>
    <row r="57" spans="1:17" ht="15.75" customHeight="1" x14ac:dyDescent="0.25">
      <c r="A57" s="290" t="s">
        <v>220</v>
      </c>
      <c r="B57" s="286" t="s">
        <v>1</v>
      </c>
      <c r="C57" s="286" t="s">
        <v>2</v>
      </c>
      <c r="D57" s="286" t="s">
        <v>3</v>
      </c>
      <c r="E57" s="286" t="s">
        <v>4</v>
      </c>
      <c r="F57" s="286" t="s">
        <v>5</v>
      </c>
      <c r="G57" s="286" t="s">
        <v>6</v>
      </c>
      <c r="H57" s="286"/>
      <c r="I57" s="286"/>
      <c r="J57" s="286"/>
      <c r="K57" s="286"/>
      <c r="L57" s="286" t="s">
        <v>8</v>
      </c>
      <c r="M57" s="286" t="s">
        <v>9</v>
      </c>
      <c r="N57" s="286" t="s">
        <v>10</v>
      </c>
      <c r="O57" s="354" t="s">
        <v>414</v>
      </c>
      <c r="P57" s="286" t="s">
        <v>184</v>
      </c>
      <c r="Q57" s="287" t="s">
        <v>412</v>
      </c>
    </row>
    <row r="58" spans="1:17" ht="15" customHeight="1" x14ac:dyDescent="0.25">
      <c r="A58" s="279"/>
      <c r="B58" s="278"/>
      <c r="C58" s="278"/>
      <c r="D58" s="278"/>
      <c r="E58" s="278"/>
      <c r="F58" s="278"/>
      <c r="G58" s="278" t="s">
        <v>13</v>
      </c>
      <c r="H58" s="278" t="s">
        <v>381</v>
      </c>
      <c r="I58" s="278" t="s">
        <v>15</v>
      </c>
      <c r="J58" s="278" t="s">
        <v>16</v>
      </c>
      <c r="K58" s="278" t="s">
        <v>17</v>
      </c>
      <c r="L58" s="278"/>
      <c r="M58" s="278"/>
      <c r="N58" s="278"/>
      <c r="O58" s="355"/>
      <c r="P58" s="278"/>
      <c r="Q58" s="288"/>
    </row>
    <row r="59" spans="1:17" ht="15" customHeight="1" x14ac:dyDescent="0.25">
      <c r="A59" s="279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355"/>
      <c r="P59" s="278"/>
      <c r="Q59" s="288"/>
    </row>
    <row r="60" spans="1:17" x14ac:dyDescent="0.25">
      <c r="A60" s="188" t="s">
        <v>18</v>
      </c>
      <c r="B60" s="213" t="s">
        <v>19</v>
      </c>
      <c r="C60" s="213"/>
      <c r="D60" s="213" t="s">
        <v>20</v>
      </c>
      <c r="E60" s="213" t="s">
        <v>21</v>
      </c>
      <c r="F60" s="213" t="s">
        <v>22</v>
      </c>
      <c r="G60" s="213" t="s">
        <v>23</v>
      </c>
      <c r="H60" s="213" t="s">
        <v>23</v>
      </c>
      <c r="I60" s="213" t="s">
        <v>24</v>
      </c>
      <c r="J60" s="213" t="s">
        <v>22</v>
      </c>
      <c r="K60" s="213" t="s">
        <v>24</v>
      </c>
      <c r="L60" s="213" t="s">
        <v>25</v>
      </c>
      <c r="M60" s="213" t="s">
        <v>25</v>
      </c>
      <c r="N60" s="213" t="s">
        <v>26</v>
      </c>
      <c r="O60" s="189" t="s">
        <v>27</v>
      </c>
      <c r="P60" s="216" t="s">
        <v>410</v>
      </c>
      <c r="Q60" s="217" t="s">
        <v>411</v>
      </c>
    </row>
    <row r="61" spans="1:17" ht="31.5" x14ac:dyDescent="0.25">
      <c r="A61" s="188">
        <v>22</v>
      </c>
      <c r="B61" s="12" t="s">
        <v>413</v>
      </c>
      <c r="C61" s="12" t="s">
        <v>172</v>
      </c>
      <c r="D61" s="213">
        <v>9005</v>
      </c>
      <c r="E61" s="213">
        <v>1.3</v>
      </c>
      <c r="F61" s="213">
        <v>50</v>
      </c>
      <c r="G61" s="16">
        <f>H61*(105)/F61</f>
        <v>126</v>
      </c>
      <c r="H61" s="213">
        <v>60</v>
      </c>
      <c r="I61" s="17">
        <f>1/(H61/(10*F61))</f>
        <v>8.3333333333333339</v>
      </c>
      <c r="J61" s="213">
        <v>30</v>
      </c>
      <c r="K61" s="17">
        <f>I61-(I61/100*J61)</f>
        <v>5.8333333333333339</v>
      </c>
      <c r="L61" s="8">
        <f>626*1.35+95</f>
        <v>940.1</v>
      </c>
      <c r="M61" s="8">
        <f>E61*L61</f>
        <v>1222.1300000000001</v>
      </c>
      <c r="N61" s="9">
        <f>A61/K61</f>
        <v>3.7714285714285709</v>
      </c>
      <c r="O61" s="209">
        <f>E61*N61</f>
        <v>4.9028571428571421</v>
      </c>
      <c r="P61" s="18">
        <f>O61*L61</f>
        <v>4609.1759999999995</v>
      </c>
      <c r="Q61" s="360">
        <f>P65/A61</f>
        <v>419.01599999999996</v>
      </c>
    </row>
    <row r="62" spans="1:17" ht="31.5" x14ac:dyDescent="0.25">
      <c r="A62" s="188">
        <v>22</v>
      </c>
      <c r="B62" s="12" t="s">
        <v>413</v>
      </c>
      <c r="C62" s="12" t="s">
        <v>172</v>
      </c>
      <c r="D62" s="213">
        <v>9005</v>
      </c>
      <c r="E62" s="213">
        <v>1.3</v>
      </c>
      <c r="F62" s="213">
        <v>50</v>
      </c>
      <c r="G62" s="16">
        <f>H62*(105)/F62</f>
        <v>126</v>
      </c>
      <c r="H62" s="213">
        <v>60</v>
      </c>
      <c r="I62" s="17">
        <f>1/(H62/(10*F62))</f>
        <v>8.3333333333333339</v>
      </c>
      <c r="J62" s="213">
        <v>30</v>
      </c>
      <c r="K62" s="17">
        <f>I62-(I62/100*J62)</f>
        <v>5.8333333333333339</v>
      </c>
      <c r="L62" s="8">
        <f>626*1.35+95</f>
        <v>940.1</v>
      </c>
      <c r="M62" s="8">
        <f>E62*L62</f>
        <v>1222.1300000000001</v>
      </c>
      <c r="N62" s="9">
        <f>A62/K62</f>
        <v>3.7714285714285709</v>
      </c>
      <c r="O62" s="209">
        <f>E62*N62</f>
        <v>4.9028571428571421</v>
      </c>
      <c r="P62" s="18">
        <f>O62*L62</f>
        <v>4609.1759999999995</v>
      </c>
      <c r="Q62" s="360"/>
    </row>
    <row r="63" spans="1:17" x14ac:dyDescent="0.25">
      <c r="A63" s="312" t="s">
        <v>393</v>
      </c>
      <c r="B63" s="313"/>
      <c r="C63" s="313"/>
      <c r="D63" s="314"/>
      <c r="E63" s="213">
        <v>0.9</v>
      </c>
      <c r="F63" s="347">
        <v>5</v>
      </c>
      <c r="G63" s="313"/>
      <c r="H63" s="313"/>
      <c r="I63" s="314"/>
      <c r="J63" s="213"/>
      <c r="K63" s="213"/>
      <c r="L63" s="12"/>
      <c r="M63" s="12">
        <v>500</v>
      </c>
      <c r="N63" s="13">
        <f>N61*(F63/100)</f>
        <v>0.18857142857142856</v>
      </c>
      <c r="O63" s="209">
        <f>E63*N63</f>
        <v>0.16971428571428571</v>
      </c>
      <c r="P63" s="18">
        <f>L63*O63</f>
        <v>0</v>
      </c>
      <c r="Q63" s="360"/>
    </row>
    <row r="64" spans="1:17" x14ac:dyDescent="0.25">
      <c r="A64" s="312" t="s">
        <v>393</v>
      </c>
      <c r="B64" s="313"/>
      <c r="C64" s="313"/>
      <c r="D64" s="314"/>
      <c r="E64" s="213">
        <v>0.9</v>
      </c>
      <c r="F64" s="347">
        <v>5</v>
      </c>
      <c r="G64" s="313"/>
      <c r="H64" s="313"/>
      <c r="I64" s="314"/>
      <c r="J64" s="213"/>
      <c r="K64" s="213"/>
      <c r="L64" s="12"/>
      <c r="M64" s="12">
        <v>500</v>
      </c>
      <c r="N64" s="13">
        <f>N62*(F64/100)</f>
        <v>0.18857142857142856</v>
      </c>
      <c r="O64" s="209">
        <f>E64*N64</f>
        <v>0.16971428571428571</v>
      </c>
      <c r="P64" s="18">
        <f>L64*O64</f>
        <v>0</v>
      </c>
      <c r="Q64" s="360"/>
    </row>
    <row r="65" spans="1:17" ht="16.5" thickBot="1" x14ac:dyDescent="0.3">
      <c r="A65" s="194"/>
      <c r="B65" s="356" t="s">
        <v>35</v>
      </c>
      <c r="C65" s="357"/>
      <c r="D65" s="357"/>
      <c r="E65" s="357"/>
      <c r="F65" s="357"/>
      <c r="G65" s="358"/>
      <c r="H65" s="212">
        <f>SUM(H61:H62)</f>
        <v>120</v>
      </c>
      <c r="I65" s="356"/>
      <c r="J65" s="357"/>
      <c r="K65" s="357"/>
      <c r="L65" s="357"/>
      <c r="M65" s="357"/>
      <c r="N65" s="357"/>
      <c r="O65" s="359"/>
      <c r="P65" s="223">
        <f>SUM(P61:P64)</f>
        <v>9218.351999999999</v>
      </c>
      <c r="Q65" s="361"/>
    </row>
    <row r="66" spans="1:17" ht="138" customHeight="1" x14ac:dyDescent="0.25"/>
    <row r="67" spans="1:17" ht="16.5" thickBot="1" x14ac:dyDescent="0.3">
      <c r="A67" s="219" t="s">
        <v>400</v>
      </c>
    </row>
    <row r="68" spans="1:17" ht="15.75" customHeight="1" x14ac:dyDescent="0.25">
      <c r="A68" s="290" t="s">
        <v>220</v>
      </c>
      <c r="B68" s="286" t="s">
        <v>1</v>
      </c>
      <c r="C68" s="286" t="s">
        <v>2</v>
      </c>
      <c r="D68" s="286" t="s">
        <v>3</v>
      </c>
      <c r="E68" s="286" t="s">
        <v>4</v>
      </c>
      <c r="F68" s="286" t="s">
        <v>5</v>
      </c>
      <c r="G68" s="286" t="s">
        <v>6</v>
      </c>
      <c r="H68" s="286"/>
      <c r="I68" s="286"/>
      <c r="J68" s="286"/>
      <c r="K68" s="286"/>
      <c r="L68" s="286" t="s">
        <v>8</v>
      </c>
      <c r="M68" s="286" t="s">
        <v>9</v>
      </c>
      <c r="N68" s="286" t="s">
        <v>10</v>
      </c>
      <c r="O68" s="354" t="s">
        <v>414</v>
      </c>
      <c r="P68" s="286" t="s">
        <v>184</v>
      </c>
      <c r="Q68" s="287" t="s">
        <v>412</v>
      </c>
    </row>
    <row r="69" spans="1:17" ht="15" customHeight="1" x14ac:dyDescent="0.25">
      <c r="A69" s="279"/>
      <c r="B69" s="278"/>
      <c r="C69" s="278"/>
      <c r="D69" s="278"/>
      <c r="E69" s="278"/>
      <c r="F69" s="278"/>
      <c r="G69" s="278" t="s">
        <v>13</v>
      </c>
      <c r="H69" s="278" t="s">
        <v>381</v>
      </c>
      <c r="I69" s="278" t="s">
        <v>15</v>
      </c>
      <c r="J69" s="278" t="s">
        <v>16</v>
      </c>
      <c r="K69" s="278" t="s">
        <v>17</v>
      </c>
      <c r="L69" s="278"/>
      <c r="M69" s="278"/>
      <c r="N69" s="278"/>
      <c r="O69" s="355"/>
      <c r="P69" s="278"/>
      <c r="Q69" s="288"/>
    </row>
    <row r="70" spans="1:17" ht="15" customHeight="1" x14ac:dyDescent="0.25">
      <c r="A70" s="279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355"/>
      <c r="P70" s="278"/>
      <c r="Q70" s="288"/>
    </row>
    <row r="71" spans="1:17" x14ac:dyDescent="0.25">
      <c r="A71" s="188" t="s">
        <v>18</v>
      </c>
      <c r="B71" s="213" t="s">
        <v>19</v>
      </c>
      <c r="C71" s="213"/>
      <c r="D71" s="213" t="s">
        <v>20</v>
      </c>
      <c r="E71" s="213" t="s">
        <v>21</v>
      </c>
      <c r="F71" s="213" t="s">
        <v>22</v>
      </c>
      <c r="G71" s="213" t="s">
        <v>23</v>
      </c>
      <c r="H71" s="213" t="s">
        <v>23</v>
      </c>
      <c r="I71" s="213" t="s">
        <v>24</v>
      </c>
      <c r="J71" s="213" t="s">
        <v>22</v>
      </c>
      <c r="K71" s="213" t="s">
        <v>24</v>
      </c>
      <c r="L71" s="213" t="s">
        <v>25</v>
      </c>
      <c r="M71" s="213" t="s">
        <v>25</v>
      </c>
      <c r="N71" s="213" t="s">
        <v>26</v>
      </c>
      <c r="O71" s="189" t="s">
        <v>27</v>
      </c>
      <c r="P71" s="216" t="s">
        <v>410</v>
      </c>
      <c r="Q71" s="217" t="s">
        <v>411</v>
      </c>
    </row>
    <row r="72" spans="1:17" ht="31.5" x14ac:dyDescent="0.25">
      <c r="A72" s="188">
        <v>10</v>
      </c>
      <c r="B72" s="12" t="s">
        <v>413</v>
      </c>
      <c r="C72" s="12" t="s">
        <v>172</v>
      </c>
      <c r="D72" s="213">
        <v>9005</v>
      </c>
      <c r="E72" s="213">
        <v>1.3</v>
      </c>
      <c r="F72" s="213">
        <v>50</v>
      </c>
      <c r="G72" s="16">
        <f>H72*(105)/F72</f>
        <v>126</v>
      </c>
      <c r="H72" s="213">
        <v>60</v>
      </c>
      <c r="I72" s="17">
        <f>1/(H72/(10*F72))</f>
        <v>8.3333333333333339</v>
      </c>
      <c r="J72" s="213">
        <v>30</v>
      </c>
      <c r="K72" s="17">
        <f>I72-(I72/100*J72)</f>
        <v>5.8333333333333339</v>
      </c>
      <c r="L72" s="8">
        <f>626*1.35+95</f>
        <v>940.1</v>
      </c>
      <c r="M72" s="8">
        <f>E72*L72</f>
        <v>1222.1300000000001</v>
      </c>
      <c r="N72" s="9">
        <f>A72/K72</f>
        <v>1.7142857142857142</v>
      </c>
      <c r="O72" s="209">
        <f>E72*N72</f>
        <v>2.2285714285714286</v>
      </c>
      <c r="P72" s="18">
        <f>O72*L72</f>
        <v>2095.08</v>
      </c>
      <c r="Q72" s="360">
        <f>P76/A72</f>
        <v>419.01599999999996</v>
      </c>
    </row>
    <row r="73" spans="1:17" ht="31.5" x14ac:dyDescent="0.25">
      <c r="A73" s="188">
        <v>10</v>
      </c>
      <c r="B73" s="12" t="s">
        <v>413</v>
      </c>
      <c r="C73" s="12" t="s">
        <v>172</v>
      </c>
      <c r="D73" s="213">
        <v>9005</v>
      </c>
      <c r="E73" s="213">
        <v>1.3</v>
      </c>
      <c r="F73" s="213">
        <v>50</v>
      </c>
      <c r="G73" s="16">
        <f>H73*(105)/F73</f>
        <v>126</v>
      </c>
      <c r="H73" s="213">
        <v>60</v>
      </c>
      <c r="I73" s="17">
        <f>1/(H73/(10*F73))</f>
        <v>8.3333333333333339</v>
      </c>
      <c r="J73" s="213">
        <v>30</v>
      </c>
      <c r="K73" s="17">
        <f>I73-(I73/100*J73)</f>
        <v>5.8333333333333339</v>
      </c>
      <c r="L73" s="8">
        <f>626*1.35+95</f>
        <v>940.1</v>
      </c>
      <c r="M73" s="8">
        <f>E73*L73</f>
        <v>1222.1300000000001</v>
      </c>
      <c r="N73" s="9">
        <f>A73/K73</f>
        <v>1.7142857142857142</v>
      </c>
      <c r="O73" s="209">
        <f>E73*N73</f>
        <v>2.2285714285714286</v>
      </c>
      <c r="P73" s="18">
        <f>O73*L73</f>
        <v>2095.08</v>
      </c>
      <c r="Q73" s="360"/>
    </row>
    <row r="74" spans="1:17" x14ac:dyDescent="0.25">
      <c r="A74" s="312" t="s">
        <v>393</v>
      </c>
      <c r="B74" s="313"/>
      <c r="C74" s="313"/>
      <c r="D74" s="314"/>
      <c r="E74" s="213">
        <v>0.9</v>
      </c>
      <c r="F74" s="347">
        <v>5</v>
      </c>
      <c r="G74" s="313"/>
      <c r="H74" s="313"/>
      <c r="I74" s="314"/>
      <c r="J74" s="213"/>
      <c r="K74" s="213"/>
      <c r="L74" s="12"/>
      <c r="M74" s="12">
        <v>500</v>
      </c>
      <c r="N74" s="13">
        <f>N72*(F74/100)</f>
        <v>8.5714285714285715E-2</v>
      </c>
      <c r="O74" s="209">
        <f>E74*N74</f>
        <v>7.7142857142857152E-2</v>
      </c>
      <c r="P74" s="18">
        <f>L74*O74</f>
        <v>0</v>
      </c>
      <c r="Q74" s="360"/>
    </row>
    <row r="75" spans="1:17" x14ac:dyDescent="0.25">
      <c r="A75" s="312" t="s">
        <v>393</v>
      </c>
      <c r="B75" s="313"/>
      <c r="C75" s="313"/>
      <c r="D75" s="314"/>
      <c r="E75" s="213">
        <v>0.9</v>
      </c>
      <c r="F75" s="347">
        <v>5</v>
      </c>
      <c r="G75" s="313"/>
      <c r="H75" s="313"/>
      <c r="I75" s="314"/>
      <c r="J75" s="213"/>
      <c r="K75" s="213"/>
      <c r="L75" s="12"/>
      <c r="M75" s="12">
        <v>500</v>
      </c>
      <c r="N75" s="13">
        <f>N73*(F75/100)</f>
        <v>8.5714285714285715E-2</v>
      </c>
      <c r="O75" s="209">
        <f>E75*N75</f>
        <v>7.7142857142857152E-2</v>
      </c>
      <c r="P75" s="18">
        <f>L75*O75</f>
        <v>0</v>
      </c>
      <c r="Q75" s="360"/>
    </row>
    <row r="76" spans="1:17" ht="16.5" thickBot="1" x14ac:dyDescent="0.3">
      <c r="A76" s="194"/>
      <c r="B76" s="356" t="s">
        <v>35</v>
      </c>
      <c r="C76" s="357"/>
      <c r="D76" s="357"/>
      <c r="E76" s="357"/>
      <c r="F76" s="357"/>
      <c r="G76" s="358"/>
      <c r="H76" s="212">
        <f>SUM(H72:H73)</f>
        <v>120</v>
      </c>
      <c r="I76" s="356"/>
      <c r="J76" s="357"/>
      <c r="K76" s="357"/>
      <c r="L76" s="357"/>
      <c r="M76" s="357"/>
      <c r="N76" s="357"/>
      <c r="O76" s="359"/>
      <c r="P76" s="223">
        <f>SUM(P72:P75)</f>
        <v>4190.16</v>
      </c>
      <c r="Q76" s="361"/>
    </row>
    <row r="78" spans="1:17" ht="16.5" thickBot="1" x14ac:dyDescent="0.3">
      <c r="A78" s="219" t="s">
        <v>401</v>
      </c>
    </row>
    <row r="79" spans="1:17" ht="15.75" customHeight="1" x14ac:dyDescent="0.25">
      <c r="A79" s="290" t="s">
        <v>220</v>
      </c>
      <c r="B79" s="286" t="s">
        <v>1</v>
      </c>
      <c r="C79" s="286" t="s">
        <v>2</v>
      </c>
      <c r="D79" s="286" t="s">
        <v>3</v>
      </c>
      <c r="E79" s="286" t="s">
        <v>4</v>
      </c>
      <c r="F79" s="286" t="s">
        <v>5</v>
      </c>
      <c r="G79" s="286" t="s">
        <v>6</v>
      </c>
      <c r="H79" s="286"/>
      <c r="I79" s="286"/>
      <c r="J79" s="286"/>
      <c r="K79" s="286"/>
      <c r="L79" s="286" t="s">
        <v>8</v>
      </c>
      <c r="M79" s="286" t="s">
        <v>9</v>
      </c>
      <c r="N79" s="286" t="s">
        <v>10</v>
      </c>
      <c r="O79" s="354" t="s">
        <v>414</v>
      </c>
      <c r="P79" s="286" t="s">
        <v>184</v>
      </c>
      <c r="Q79" s="287" t="s">
        <v>412</v>
      </c>
    </row>
    <row r="80" spans="1:17" ht="15" customHeight="1" x14ac:dyDescent="0.25">
      <c r="A80" s="279"/>
      <c r="B80" s="278"/>
      <c r="C80" s="278"/>
      <c r="D80" s="278"/>
      <c r="E80" s="278"/>
      <c r="F80" s="278"/>
      <c r="G80" s="278" t="s">
        <v>13</v>
      </c>
      <c r="H80" s="278" t="s">
        <v>381</v>
      </c>
      <c r="I80" s="278" t="s">
        <v>15</v>
      </c>
      <c r="J80" s="278" t="s">
        <v>16</v>
      </c>
      <c r="K80" s="278" t="s">
        <v>17</v>
      </c>
      <c r="L80" s="278"/>
      <c r="M80" s="278"/>
      <c r="N80" s="278"/>
      <c r="O80" s="355"/>
      <c r="P80" s="278"/>
      <c r="Q80" s="288"/>
    </row>
    <row r="81" spans="1:17" ht="15" customHeight="1" x14ac:dyDescent="0.25">
      <c r="A81" s="279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355"/>
      <c r="P81" s="278"/>
      <c r="Q81" s="288"/>
    </row>
    <row r="82" spans="1:17" x14ac:dyDescent="0.25">
      <c r="A82" s="188" t="s">
        <v>18</v>
      </c>
      <c r="B82" s="213" t="s">
        <v>19</v>
      </c>
      <c r="C82" s="213"/>
      <c r="D82" s="213" t="s">
        <v>20</v>
      </c>
      <c r="E82" s="213" t="s">
        <v>21</v>
      </c>
      <c r="F82" s="213" t="s">
        <v>22</v>
      </c>
      <c r="G82" s="213" t="s">
        <v>23</v>
      </c>
      <c r="H82" s="213" t="s">
        <v>23</v>
      </c>
      <c r="I82" s="213" t="s">
        <v>24</v>
      </c>
      <c r="J82" s="213" t="s">
        <v>22</v>
      </c>
      <c r="K82" s="213" t="s">
        <v>24</v>
      </c>
      <c r="L82" s="213" t="s">
        <v>25</v>
      </c>
      <c r="M82" s="213" t="s">
        <v>25</v>
      </c>
      <c r="N82" s="213" t="s">
        <v>26</v>
      </c>
      <c r="O82" s="189" t="s">
        <v>27</v>
      </c>
      <c r="P82" s="216" t="s">
        <v>410</v>
      </c>
      <c r="Q82" s="217" t="s">
        <v>411</v>
      </c>
    </row>
    <row r="83" spans="1:17" ht="31.5" x14ac:dyDescent="0.25">
      <c r="A83" s="188">
        <v>5</v>
      </c>
      <c r="B83" s="12" t="s">
        <v>413</v>
      </c>
      <c r="C83" s="12" t="s">
        <v>172</v>
      </c>
      <c r="D83" s="213">
        <v>7035</v>
      </c>
      <c r="E83" s="213">
        <v>1.3</v>
      </c>
      <c r="F83" s="213">
        <v>50</v>
      </c>
      <c r="G83" s="16">
        <f>H83*(105)/F83</f>
        <v>126</v>
      </c>
      <c r="H83" s="213">
        <v>60</v>
      </c>
      <c r="I83" s="17">
        <f>1/(H83/(10*F83))</f>
        <v>8.3333333333333339</v>
      </c>
      <c r="J83" s="213">
        <v>30</v>
      </c>
      <c r="K83" s="17">
        <f>I83-(I83/100*J83)</f>
        <v>5.8333333333333339</v>
      </c>
      <c r="L83" s="8">
        <f>361*1.35+95</f>
        <v>582.35</v>
      </c>
      <c r="M83" s="8">
        <f>E83*L83</f>
        <v>757.05500000000006</v>
      </c>
      <c r="N83" s="9">
        <f>A83/K83</f>
        <v>0.8571428571428571</v>
      </c>
      <c r="O83" s="209">
        <f>E83*N83</f>
        <v>1.1142857142857143</v>
      </c>
      <c r="P83" s="18">
        <f>O83*L83</f>
        <v>648.90428571428572</v>
      </c>
      <c r="Q83" s="360">
        <f>P87/A83</f>
        <v>259.56171428571429</v>
      </c>
    </row>
    <row r="84" spans="1:17" ht="31.5" x14ac:dyDescent="0.25">
      <c r="A84" s="188">
        <v>5</v>
      </c>
      <c r="B84" s="12" t="s">
        <v>413</v>
      </c>
      <c r="C84" s="12" t="s">
        <v>172</v>
      </c>
      <c r="D84" s="213">
        <v>7035</v>
      </c>
      <c r="E84" s="213">
        <v>1.3</v>
      </c>
      <c r="F84" s="213">
        <v>50</v>
      </c>
      <c r="G84" s="16">
        <f>H84*(105)/F84</f>
        <v>126</v>
      </c>
      <c r="H84" s="213">
        <v>60</v>
      </c>
      <c r="I84" s="17">
        <f>1/(H84/(10*F84))</f>
        <v>8.3333333333333339</v>
      </c>
      <c r="J84" s="213">
        <v>30</v>
      </c>
      <c r="K84" s="17">
        <f>I84-(I84/100*J84)</f>
        <v>5.8333333333333339</v>
      </c>
      <c r="L84" s="8">
        <f>361*1.35+95</f>
        <v>582.35</v>
      </c>
      <c r="M84" s="8">
        <f>E84*L84</f>
        <v>757.05500000000006</v>
      </c>
      <c r="N84" s="9">
        <f>A84/K84</f>
        <v>0.8571428571428571</v>
      </c>
      <c r="O84" s="209">
        <f>E84*N84</f>
        <v>1.1142857142857143</v>
      </c>
      <c r="P84" s="18">
        <f>O84*L84</f>
        <v>648.90428571428572</v>
      </c>
      <c r="Q84" s="360"/>
    </row>
    <row r="85" spans="1:17" x14ac:dyDescent="0.25">
      <c r="A85" s="312" t="s">
        <v>393</v>
      </c>
      <c r="B85" s="313"/>
      <c r="C85" s="313"/>
      <c r="D85" s="314"/>
      <c r="E85" s="213">
        <v>0.9</v>
      </c>
      <c r="F85" s="347">
        <v>5</v>
      </c>
      <c r="G85" s="313"/>
      <c r="H85" s="313"/>
      <c r="I85" s="314"/>
      <c r="J85" s="213"/>
      <c r="K85" s="213"/>
      <c r="L85" s="12"/>
      <c r="M85" s="12">
        <v>500</v>
      </c>
      <c r="N85" s="13">
        <f>N83*(F85/100)</f>
        <v>4.2857142857142858E-2</v>
      </c>
      <c r="O85" s="209">
        <f>E85*N85</f>
        <v>3.8571428571428576E-2</v>
      </c>
      <c r="P85" s="18">
        <f>L85*O85</f>
        <v>0</v>
      </c>
      <c r="Q85" s="360"/>
    </row>
    <row r="86" spans="1:17" x14ac:dyDescent="0.25">
      <c r="A86" s="312" t="s">
        <v>393</v>
      </c>
      <c r="B86" s="313"/>
      <c r="C86" s="313"/>
      <c r="D86" s="314"/>
      <c r="E86" s="213">
        <v>0.9</v>
      </c>
      <c r="F86" s="347">
        <v>5</v>
      </c>
      <c r="G86" s="313"/>
      <c r="H86" s="313"/>
      <c r="I86" s="314"/>
      <c r="J86" s="213"/>
      <c r="K86" s="213"/>
      <c r="L86" s="12"/>
      <c r="M86" s="12">
        <v>500</v>
      </c>
      <c r="N86" s="13">
        <f>N84*(F86/100)</f>
        <v>4.2857142857142858E-2</v>
      </c>
      <c r="O86" s="209">
        <f>E86*N86</f>
        <v>3.8571428571428576E-2</v>
      </c>
      <c r="P86" s="18">
        <f>L86*O86</f>
        <v>0</v>
      </c>
      <c r="Q86" s="360"/>
    </row>
    <row r="87" spans="1:17" ht="16.5" thickBot="1" x14ac:dyDescent="0.3">
      <c r="A87" s="194"/>
      <c r="B87" s="356" t="s">
        <v>35</v>
      </c>
      <c r="C87" s="357"/>
      <c r="D87" s="357"/>
      <c r="E87" s="357"/>
      <c r="F87" s="357"/>
      <c r="G87" s="358"/>
      <c r="H87" s="212">
        <f>SUM(H83:H84)</f>
        <v>120</v>
      </c>
      <c r="I87" s="356"/>
      <c r="J87" s="357"/>
      <c r="K87" s="357"/>
      <c r="L87" s="357"/>
      <c r="M87" s="357"/>
      <c r="N87" s="357"/>
      <c r="O87" s="359"/>
      <c r="P87" s="223">
        <f>SUM(P83:P86)</f>
        <v>1297.8085714285714</v>
      </c>
      <c r="Q87" s="361"/>
    </row>
    <row r="89" spans="1:17" ht="16.5" thickBot="1" x14ac:dyDescent="0.3">
      <c r="A89" s="219" t="s">
        <v>402</v>
      </c>
    </row>
    <row r="90" spans="1:17" ht="15.75" customHeight="1" x14ac:dyDescent="0.25">
      <c r="A90" s="290" t="s">
        <v>220</v>
      </c>
      <c r="B90" s="286" t="s">
        <v>1</v>
      </c>
      <c r="C90" s="286" t="s">
        <v>2</v>
      </c>
      <c r="D90" s="286" t="s">
        <v>3</v>
      </c>
      <c r="E90" s="286" t="s">
        <v>4</v>
      </c>
      <c r="F90" s="286" t="s">
        <v>5</v>
      </c>
      <c r="G90" s="286" t="s">
        <v>6</v>
      </c>
      <c r="H90" s="286"/>
      <c r="I90" s="286"/>
      <c r="J90" s="286"/>
      <c r="K90" s="286"/>
      <c r="L90" s="286" t="s">
        <v>8</v>
      </c>
      <c r="M90" s="286" t="s">
        <v>9</v>
      </c>
      <c r="N90" s="286" t="s">
        <v>10</v>
      </c>
      <c r="O90" s="354" t="s">
        <v>414</v>
      </c>
      <c r="P90" s="286" t="s">
        <v>184</v>
      </c>
      <c r="Q90" s="287" t="s">
        <v>412</v>
      </c>
    </row>
    <row r="91" spans="1:17" ht="15" customHeight="1" x14ac:dyDescent="0.25">
      <c r="A91" s="279"/>
      <c r="B91" s="278"/>
      <c r="C91" s="278"/>
      <c r="D91" s="278"/>
      <c r="E91" s="278"/>
      <c r="F91" s="278"/>
      <c r="G91" s="278" t="s">
        <v>13</v>
      </c>
      <c r="H91" s="278" t="s">
        <v>381</v>
      </c>
      <c r="I91" s="278" t="s">
        <v>15</v>
      </c>
      <c r="J91" s="278" t="s">
        <v>16</v>
      </c>
      <c r="K91" s="278" t="s">
        <v>17</v>
      </c>
      <c r="L91" s="278"/>
      <c r="M91" s="278"/>
      <c r="N91" s="278"/>
      <c r="O91" s="355"/>
      <c r="P91" s="278"/>
      <c r="Q91" s="288"/>
    </row>
    <row r="92" spans="1:17" ht="15" customHeight="1" x14ac:dyDescent="0.25">
      <c r="A92" s="279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278"/>
      <c r="O92" s="355"/>
      <c r="P92" s="278"/>
      <c r="Q92" s="288"/>
    </row>
    <row r="93" spans="1:17" x14ac:dyDescent="0.25">
      <c r="A93" s="188" t="s">
        <v>18</v>
      </c>
      <c r="B93" s="213" t="s">
        <v>19</v>
      </c>
      <c r="C93" s="213"/>
      <c r="D93" s="213" t="s">
        <v>20</v>
      </c>
      <c r="E93" s="213" t="s">
        <v>21</v>
      </c>
      <c r="F93" s="213" t="s">
        <v>22</v>
      </c>
      <c r="G93" s="213" t="s">
        <v>23</v>
      </c>
      <c r="H93" s="213" t="s">
        <v>23</v>
      </c>
      <c r="I93" s="213" t="s">
        <v>24</v>
      </c>
      <c r="J93" s="213" t="s">
        <v>22</v>
      </c>
      <c r="K93" s="213" t="s">
        <v>24</v>
      </c>
      <c r="L93" s="213" t="s">
        <v>25</v>
      </c>
      <c r="M93" s="213" t="s">
        <v>25</v>
      </c>
      <c r="N93" s="213" t="s">
        <v>26</v>
      </c>
      <c r="O93" s="189" t="s">
        <v>27</v>
      </c>
      <c r="P93" s="216" t="s">
        <v>410</v>
      </c>
      <c r="Q93" s="217" t="s">
        <v>411</v>
      </c>
    </row>
    <row r="94" spans="1:17" ht="31.5" x14ac:dyDescent="0.25">
      <c r="A94" s="188">
        <v>20</v>
      </c>
      <c r="B94" s="12" t="s">
        <v>413</v>
      </c>
      <c r="C94" s="12" t="s">
        <v>172</v>
      </c>
      <c r="D94" s="213">
        <v>9003</v>
      </c>
      <c r="E94" s="213">
        <v>1.3</v>
      </c>
      <c r="F94" s="213">
        <v>50</v>
      </c>
      <c r="G94" s="16">
        <f>H94*(105)/F94</f>
        <v>126</v>
      </c>
      <c r="H94" s="213">
        <v>60</v>
      </c>
      <c r="I94" s="17">
        <f>1/(H94/(10*F94))</f>
        <v>8.3333333333333339</v>
      </c>
      <c r="J94" s="213">
        <v>30</v>
      </c>
      <c r="K94" s="17">
        <f>I94-(I94/100*J94)</f>
        <v>5.8333333333333339</v>
      </c>
      <c r="L94" s="8">
        <f>483*1.35+95</f>
        <v>747.05000000000007</v>
      </c>
      <c r="M94" s="8">
        <f>E94*L94</f>
        <v>971.16500000000008</v>
      </c>
      <c r="N94" s="9">
        <f>A94/K94</f>
        <v>3.4285714285714284</v>
      </c>
      <c r="O94" s="209">
        <f>E94*N94</f>
        <v>4.4571428571428573</v>
      </c>
      <c r="P94" s="18">
        <f>O94*L94</f>
        <v>3329.7085714285718</v>
      </c>
      <c r="Q94" s="360">
        <f>P98/A94</f>
        <v>332.9708571428572</v>
      </c>
    </row>
    <row r="95" spans="1:17" ht="31.5" x14ac:dyDescent="0.25">
      <c r="A95" s="188">
        <v>20</v>
      </c>
      <c r="B95" s="12" t="s">
        <v>413</v>
      </c>
      <c r="C95" s="12" t="s">
        <v>172</v>
      </c>
      <c r="D95" s="213">
        <v>9003</v>
      </c>
      <c r="E95" s="213">
        <v>1.3</v>
      </c>
      <c r="F95" s="213">
        <v>50</v>
      </c>
      <c r="G95" s="16">
        <f>H95*(105)/F95</f>
        <v>126</v>
      </c>
      <c r="H95" s="213">
        <v>60</v>
      </c>
      <c r="I95" s="17">
        <f>1/(H95/(10*F95))</f>
        <v>8.3333333333333339</v>
      </c>
      <c r="J95" s="213">
        <v>30</v>
      </c>
      <c r="K95" s="17">
        <f>I95-(I95/100*J95)</f>
        <v>5.8333333333333339</v>
      </c>
      <c r="L95" s="8">
        <f>483*1.35+95</f>
        <v>747.05000000000007</v>
      </c>
      <c r="M95" s="8">
        <f>E95*L95</f>
        <v>971.16500000000008</v>
      </c>
      <c r="N95" s="9">
        <f>A95/K95</f>
        <v>3.4285714285714284</v>
      </c>
      <c r="O95" s="209">
        <f>E95*N95</f>
        <v>4.4571428571428573</v>
      </c>
      <c r="P95" s="18">
        <f>O95*L95</f>
        <v>3329.7085714285718</v>
      </c>
      <c r="Q95" s="360"/>
    </row>
    <row r="96" spans="1:17" x14ac:dyDescent="0.25">
      <c r="A96" s="312" t="s">
        <v>393</v>
      </c>
      <c r="B96" s="313"/>
      <c r="C96" s="313"/>
      <c r="D96" s="314"/>
      <c r="E96" s="213">
        <v>0.9</v>
      </c>
      <c r="F96" s="347">
        <v>5</v>
      </c>
      <c r="G96" s="313"/>
      <c r="H96" s="313"/>
      <c r="I96" s="314"/>
      <c r="J96" s="213"/>
      <c r="K96" s="213"/>
      <c r="L96" s="12"/>
      <c r="M96" s="12">
        <v>500</v>
      </c>
      <c r="N96" s="13">
        <f>N94*(F96/100)</f>
        <v>0.17142857142857143</v>
      </c>
      <c r="O96" s="209">
        <f>E96*N96</f>
        <v>0.1542857142857143</v>
      </c>
      <c r="P96" s="18">
        <f>L96*O96</f>
        <v>0</v>
      </c>
      <c r="Q96" s="360"/>
    </row>
    <row r="97" spans="1:17" x14ac:dyDescent="0.25">
      <c r="A97" s="312" t="s">
        <v>393</v>
      </c>
      <c r="B97" s="313"/>
      <c r="C97" s="313"/>
      <c r="D97" s="314"/>
      <c r="E97" s="213">
        <v>0.9</v>
      </c>
      <c r="F97" s="347">
        <v>5</v>
      </c>
      <c r="G97" s="313"/>
      <c r="H97" s="313"/>
      <c r="I97" s="314"/>
      <c r="J97" s="213"/>
      <c r="K97" s="213"/>
      <c r="L97" s="12"/>
      <c r="M97" s="12">
        <v>500</v>
      </c>
      <c r="N97" s="13">
        <f>N95*(F97/100)</f>
        <v>0.17142857142857143</v>
      </c>
      <c r="O97" s="209">
        <f>E97*N97</f>
        <v>0.1542857142857143</v>
      </c>
      <c r="P97" s="18">
        <f>L97*O97</f>
        <v>0</v>
      </c>
      <c r="Q97" s="360"/>
    </row>
    <row r="98" spans="1:17" ht="16.5" thickBot="1" x14ac:dyDescent="0.3">
      <c r="A98" s="194"/>
      <c r="B98" s="356" t="s">
        <v>35</v>
      </c>
      <c r="C98" s="357"/>
      <c r="D98" s="357"/>
      <c r="E98" s="357"/>
      <c r="F98" s="357"/>
      <c r="G98" s="358"/>
      <c r="H98" s="212">
        <f>SUM(H94:H95)</f>
        <v>120</v>
      </c>
      <c r="I98" s="356"/>
      <c r="J98" s="357"/>
      <c r="K98" s="357"/>
      <c r="L98" s="357"/>
      <c r="M98" s="357"/>
      <c r="N98" s="357"/>
      <c r="O98" s="359"/>
      <c r="P98" s="223">
        <f>SUM(P94:P97)</f>
        <v>6659.4171428571435</v>
      </c>
      <c r="Q98" s="361"/>
    </row>
    <row r="99" spans="1:17" ht="136.5" customHeight="1" x14ac:dyDescent="0.25"/>
    <row r="100" spans="1:17" ht="16.5" thickBot="1" x14ac:dyDescent="0.3">
      <c r="A100" s="219" t="s">
        <v>403</v>
      </c>
    </row>
    <row r="101" spans="1:17" ht="15.75" customHeight="1" x14ac:dyDescent="0.25">
      <c r="A101" s="290" t="s">
        <v>220</v>
      </c>
      <c r="B101" s="286" t="s">
        <v>1</v>
      </c>
      <c r="C101" s="286" t="s">
        <v>2</v>
      </c>
      <c r="D101" s="286" t="s">
        <v>3</v>
      </c>
      <c r="E101" s="286" t="s">
        <v>4</v>
      </c>
      <c r="F101" s="286" t="s">
        <v>5</v>
      </c>
      <c r="G101" s="286" t="s">
        <v>6</v>
      </c>
      <c r="H101" s="286"/>
      <c r="I101" s="286"/>
      <c r="J101" s="286"/>
      <c r="K101" s="286"/>
      <c r="L101" s="286" t="s">
        <v>8</v>
      </c>
      <c r="M101" s="286" t="s">
        <v>9</v>
      </c>
      <c r="N101" s="286" t="s">
        <v>10</v>
      </c>
      <c r="O101" s="354" t="s">
        <v>414</v>
      </c>
      <c r="P101" s="286" t="s">
        <v>184</v>
      </c>
      <c r="Q101" s="287" t="s">
        <v>412</v>
      </c>
    </row>
    <row r="102" spans="1:17" ht="15" customHeight="1" x14ac:dyDescent="0.25">
      <c r="A102" s="279"/>
      <c r="B102" s="278"/>
      <c r="C102" s="278"/>
      <c r="D102" s="278"/>
      <c r="E102" s="278"/>
      <c r="F102" s="278"/>
      <c r="G102" s="278" t="s">
        <v>13</v>
      </c>
      <c r="H102" s="278" t="s">
        <v>381</v>
      </c>
      <c r="I102" s="278" t="s">
        <v>15</v>
      </c>
      <c r="J102" s="278" t="s">
        <v>16</v>
      </c>
      <c r="K102" s="278" t="s">
        <v>17</v>
      </c>
      <c r="L102" s="278"/>
      <c r="M102" s="278"/>
      <c r="N102" s="278"/>
      <c r="O102" s="355"/>
      <c r="P102" s="278"/>
      <c r="Q102" s="288"/>
    </row>
    <row r="103" spans="1:17" ht="15" customHeight="1" x14ac:dyDescent="0.25">
      <c r="A103" s="279"/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8"/>
      <c r="O103" s="355"/>
      <c r="P103" s="278"/>
      <c r="Q103" s="288"/>
    </row>
    <row r="104" spans="1:17" x14ac:dyDescent="0.25">
      <c r="A104" s="188" t="s">
        <v>18</v>
      </c>
      <c r="B104" s="213" t="s">
        <v>19</v>
      </c>
      <c r="C104" s="213"/>
      <c r="D104" s="213" t="s">
        <v>20</v>
      </c>
      <c r="E104" s="213" t="s">
        <v>21</v>
      </c>
      <c r="F104" s="213" t="s">
        <v>22</v>
      </c>
      <c r="G104" s="213" t="s">
        <v>23</v>
      </c>
      <c r="H104" s="213" t="s">
        <v>23</v>
      </c>
      <c r="I104" s="213" t="s">
        <v>24</v>
      </c>
      <c r="J104" s="213" t="s">
        <v>22</v>
      </c>
      <c r="K104" s="213" t="s">
        <v>24</v>
      </c>
      <c r="L104" s="213" t="s">
        <v>25</v>
      </c>
      <c r="M104" s="213" t="s">
        <v>25</v>
      </c>
      <c r="N104" s="213" t="s">
        <v>26</v>
      </c>
      <c r="O104" s="189" t="s">
        <v>27</v>
      </c>
      <c r="P104" s="216" t="s">
        <v>410</v>
      </c>
      <c r="Q104" s="217" t="s">
        <v>411</v>
      </c>
    </row>
    <row r="105" spans="1:17" ht="31.5" x14ac:dyDescent="0.25">
      <c r="A105" s="188">
        <v>17</v>
      </c>
      <c r="B105" s="12" t="s">
        <v>413</v>
      </c>
      <c r="C105" s="12" t="s">
        <v>172</v>
      </c>
      <c r="D105" s="213">
        <v>1003</v>
      </c>
      <c r="E105" s="213">
        <v>1.3</v>
      </c>
      <c r="F105" s="213">
        <v>50</v>
      </c>
      <c r="G105" s="16">
        <f>H105*(105)/F105</f>
        <v>126</v>
      </c>
      <c r="H105" s="213">
        <v>60</v>
      </c>
      <c r="I105" s="17">
        <f>1/(H105/(10*F105))</f>
        <v>8.3333333333333339</v>
      </c>
      <c r="J105" s="213">
        <v>30</v>
      </c>
      <c r="K105" s="17">
        <f>I105-(I105/100*J105)</f>
        <v>5.8333333333333339</v>
      </c>
      <c r="L105" s="8">
        <f>543*1.35+95</f>
        <v>828.05000000000007</v>
      </c>
      <c r="M105" s="8">
        <f>E105*L105</f>
        <v>1076.4650000000001</v>
      </c>
      <c r="N105" s="9">
        <f>A105/K105</f>
        <v>2.9142857142857141</v>
      </c>
      <c r="O105" s="209">
        <f>E105*N105</f>
        <v>3.7885714285714287</v>
      </c>
      <c r="P105" s="18">
        <f>O105*L105</f>
        <v>3137.1265714285719</v>
      </c>
      <c r="Q105" s="360">
        <f>P109/A105</f>
        <v>369.07371428571435</v>
      </c>
    </row>
    <row r="106" spans="1:17" ht="31.5" x14ac:dyDescent="0.25">
      <c r="A106" s="188">
        <v>17</v>
      </c>
      <c r="B106" s="12" t="s">
        <v>413</v>
      </c>
      <c r="C106" s="12" t="s">
        <v>172</v>
      </c>
      <c r="D106" s="213">
        <v>1003</v>
      </c>
      <c r="E106" s="213">
        <v>1.3</v>
      </c>
      <c r="F106" s="213">
        <v>50</v>
      </c>
      <c r="G106" s="16">
        <f>H106*(105)/F106</f>
        <v>126</v>
      </c>
      <c r="H106" s="213">
        <v>60</v>
      </c>
      <c r="I106" s="17">
        <f>1/(H106/(10*F106))</f>
        <v>8.3333333333333339</v>
      </c>
      <c r="J106" s="213">
        <v>30</v>
      </c>
      <c r="K106" s="17">
        <f>I106-(I106/100*J106)</f>
        <v>5.8333333333333339</v>
      </c>
      <c r="L106" s="8">
        <f>543*1.35+95</f>
        <v>828.05000000000007</v>
      </c>
      <c r="M106" s="8">
        <f>E106*L106</f>
        <v>1076.4650000000001</v>
      </c>
      <c r="N106" s="9">
        <f>A106/K106</f>
        <v>2.9142857142857141</v>
      </c>
      <c r="O106" s="209">
        <f>E106*N106</f>
        <v>3.7885714285714287</v>
      </c>
      <c r="P106" s="18">
        <f>O106*L106</f>
        <v>3137.1265714285719</v>
      </c>
      <c r="Q106" s="360"/>
    </row>
    <row r="107" spans="1:17" x14ac:dyDescent="0.25">
      <c r="A107" s="312" t="s">
        <v>393</v>
      </c>
      <c r="B107" s="313"/>
      <c r="C107" s="313"/>
      <c r="D107" s="314"/>
      <c r="E107" s="213">
        <v>0.9</v>
      </c>
      <c r="F107" s="347">
        <v>5</v>
      </c>
      <c r="G107" s="313"/>
      <c r="H107" s="313"/>
      <c r="I107" s="314"/>
      <c r="J107" s="213"/>
      <c r="K107" s="213"/>
      <c r="L107" s="12"/>
      <c r="M107" s="12">
        <v>500</v>
      </c>
      <c r="N107" s="13">
        <f>N105*(F107/100)</f>
        <v>0.14571428571428571</v>
      </c>
      <c r="O107" s="209">
        <f>E107*N107</f>
        <v>0.13114285714285714</v>
      </c>
      <c r="P107" s="18">
        <f>L107*O107</f>
        <v>0</v>
      </c>
      <c r="Q107" s="360"/>
    </row>
    <row r="108" spans="1:17" x14ac:dyDescent="0.25">
      <c r="A108" s="312" t="s">
        <v>393</v>
      </c>
      <c r="B108" s="313"/>
      <c r="C108" s="313"/>
      <c r="D108" s="314"/>
      <c r="E108" s="213">
        <v>0.9</v>
      </c>
      <c r="F108" s="347">
        <v>5</v>
      </c>
      <c r="G108" s="313"/>
      <c r="H108" s="313"/>
      <c r="I108" s="314"/>
      <c r="J108" s="213"/>
      <c r="K108" s="213"/>
      <c r="L108" s="12"/>
      <c r="M108" s="12">
        <v>500</v>
      </c>
      <c r="N108" s="13">
        <f>N106*(F108/100)</f>
        <v>0.14571428571428571</v>
      </c>
      <c r="O108" s="209">
        <f>E108*N108</f>
        <v>0.13114285714285714</v>
      </c>
      <c r="P108" s="18">
        <f>L108*O108</f>
        <v>0</v>
      </c>
      <c r="Q108" s="360"/>
    </row>
    <row r="109" spans="1:17" ht="16.5" thickBot="1" x14ac:dyDescent="0.3">
      <c r="A109" s="194"/>
      <c r="B109" s="356" t="s">
        <v>35</v>
      </c>
      <c r="C109" s="357"/>
      <c r="D109" s="357"/>
      <c r="E109" s="357"/>
      <c r="F109" s="357"/>
      <c r="G109" s="358"/>
      <c r="H109" s="212">
        <f>SUM(H105:H106)</f>
        <v>120</v>
      </c>
      <c r="I109" s="356"/>
      <c r="J109" s="357"/>
      <c r="K109" s="357"/>
      <c r="L109" s="357"/>
      <c r="M109" s="357"/>
      <c r="N109" s="357"/>
      <c r="O109" s="359"/>
      <c r="P109" s="223">
        <f>SUM(P105:P108)</f>
        <v>6274.2531428571438</v>
      </c>
      <c r="Q109" s="361"/>
    </row>
    <row r="111" spans="1:17" ht="16.5" thickBot="1" x14ac:dyDescent="0.3">
      <c r="A111" s="219" t="s">
        <v>404</v>
      </c>
    </row>
    <row r="112" spans="1:17" ht="15.75" customHeight="1" x14ac:dyDescent="0.25">
      <c r="A112" s="290" t="s">
        <v>220</v>
      </c>
      <c r="B112" s="286" t="s">
        <v>1</v>
      </c>
      <c r="C112" s="286" t="s">
        <v>2</v>
      </c>
      <c r="D112" s="286" t="s">
        <v>3</v>
      </c>
      <c r="E112" s="286" t="s">
        <v>4</v>
      </c>
      <c r="F112" s="286" t="s">
        <v>5</v>
      </c>
      <c r="G112" s="286" t="s">
        <v>6</v>
      </c>
      <c r="H112" s="286"/>
      <c r="I112" s="286"/>
      <c r="J112" s="286"/>
      <c r="K112" s="286"/>
      <c r="L112" s="286" t="s">
        <v>8</v>
      </c>
      <c r="M112" s="286" t="s">
        <v>9</v>
      </c>
      <c r="N112" s="286" t="s">
        <v>10</v>
      </c>
      <c r="O112" s="354" t="s">
        <v>414</v>
      </c>
      <c r="P112" s="286" t="s">
        <v>184</v>
      </c>
      <c r="Q112" s="287" t="s">
        <v>412</v>
      </c>
    </row>
    <row r="113" spans="1:17" ht="15" customHeight="1" x14ac:dyDescent="0.25">
      <c r="A113" s="279"/>
      <c r="B113" s="278"/>
      <c r="C113" s="278"/>
      <c r="D113" s="278"/>
      <c r="E113" s="278"/>
      <c r="F113" s="278"/>
      <c r="G113" s="278" t="s">
        <v>13</v>
      </c>
      <c r="H113" s="278" t="s">
        <v>381</v>
      </c>
      <c r="I113" s="278" t="s">
        <v>15</v>
      </c>
      <c r="J113" s="278" t="s">
        <v>16</v>
      </c>
      <c r="K113" s="278" t="s">
        <v>17</v>
      </c>
      <c r="L113" s="278"/>
      <c r="M113" s="278"/>
      <c r="N113" s="278"/>
      <c r="O113" s="355"/>
      <c r="P113" s="278"/>
      <c r="Q113" s="288"/>
    </row>
    <row r="114" spans="1:17" ht="15" customHeight="1" x14ac:dyDescent="0.25">
      <c r="A114" s="279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355"/>
      <c r="P114" s="278"/>
      <c r="Q114" s="288"/>
    </row>
    <row r="115" spans="1:17" x14ac:dyDescent="0.25">
      <c r="A115" s="188" t="s">
        <v>18</v>
      </c>
      <c r="B115" s="213" t="s">
        <v>19</v>
      </c>
      <c r="C115" s="213"/>
      <c r="D115" s="213" t="s">
        <v>20</v>
      </c>
      <c r="E115" s="213" t="s">
        <v>21</v>
      </c>
      <c r="F115" s="213" t="s">
        <v>22</v>
      </c>
      <c r="G115" s="213" t="s">
        <v>23</v>
      </c>
      <c r="H115" s="213" t="s">
        <v>23</v>
      </c>
      <c r="I115" s="213" t="s">
        <v>24</v>
      </c>
      <c r="J115" s="213" t="s">
        <v>22</v>
      </c>
      <c r="K115" s="213" t="s">
        <v>24</v>
      </c>
      <c r="L115" s="213" t="s">
        <v>25</v>
      </c>
      <c r="M115" s="213" t="s">
        <v>25</v>
      </c>
      <c r="N115" s="213" t="s">
        <v>26</v>
      </c>
      <c r="O115" s="189" t="s">
        <v>27</v>
      </c>
      <c r="P115" s="216" t="s">
        <v>410</v>
      </c>
      <c r="Q115" s="217" t="s">
        <v>411</v>
      </c>
    </row>
    <row r="116" spans="1:17" ht="31.5" x14ac:dyDescent="0.25">
      <c r="A116" s="188">
        <v>7</v>
      </c>
      <c r="B116" s="12" t="s">
        <v>413</v>
      </c>
      <c r="C116" s="12" t="s">
        <v>172</v>
      </c>
      <c r="D116" s="213">
        <v>6032</v>
      </c>
      <c r="E116" s="213">
        <v>1.3</v>
      </c>
      <c r="F116" s="213">
        <v>50</v>
      </c>
      <c r="G116" s="16">
        <f>H116*(105)/F116</f>
        <v>126</v>
      </c>
      <c r="H116" s="213">
        <v>60</v>
      </c>
      <c r="I116" s="17">
        <f>1/(H116/(10*F116))</f>
        <v>8.3333333333333339</v>
      </c>
      <c r="J116" s="213">
        <v>30</v>
      </c>
      <c r="K116" s="17">
        <f>I116-(I116/100*J116)</f>
        <v>5.8333333333333339</v>
      </c>
      <c r="L116" s="8">
        <f>526*1.35+95</f>
        <v>805.1</v>
      </c>
      <c r="M116" s="8">
        <f>E116*L116</f>
        <v>1046.6300000000001</v>
      </c>
      <c r="N116" s="9">
        <f>A116/K116</f>
        <v>1.2</v>
      </c>
      <c r="O116" s="209">
        <f>E116*N116</f>
        <v>1.56</v>
      </c>
      <c r="P116" s="18">
        <f>O116*L116</f>
        <v>1255.9560000000001</v>
      </c>
      <c r="Q116" s="360">
        <f>P120/A116</f>
        <v>358.84457142857144</v>
      </c>
    </row>
    <row r="117" spans="1:17" ht="31.5" x14ac:dyDescent="0.25">
      <c r="A117" s="188">
        <v>7</v>
      </c>
      <c r="B117" s="12" t="s">
        <v>413</v>
      </c>
      <c r="C117" s="12" t="s">
        <v>172</v>
      </c>
      <c r="D117" s="213">
        <v>6032</v>
      </c>
      <c r="E117" s="213">
        <v>1.3</v>
      </c>
      <c r="F117" s="213">
        <v>50</v>
      </c>
      <c r="G117" s="16">
        <f>H117*(105)/F117</f>
        <v>126</v>
      </c>
      <c r="H117" s="213">
        <v>60</v>
      </c>
      <c r="I117" s="17">
        <f>1/(H117/(10*F117))</f>
        <v>8.3333333333333339</v>
      </c>
      <c r="J117" s="213">
        <v>30</v>
      </c>
      <c r="K117" s="17">
        <f>I117-(I117/100*J117)</f>
        <v>5.8333333333333339</v>
      </c>
      <c r="L117" s="8">
        <f>526*1.35+95</f>
        <v>805.1</v>
      </c>
      <c r="M117" s="8">
        <f>E117*L117</f>
        <v>1046.6300000000001</v>
      </c>
      <c r="N117" s="9">
        <f>A117/K117</f>
        <v>1.2</v>
      </c>
      <c r="O117" s="209">
        <f>E117*N117</f>
        <v>1.56</v>
      </c>
      <c r="P117" s="18">
        <f>O117*L117</f>
        <v>1255.9560000000001</v>
      </c>
      <c r="Q117" s="360"/>
    </row>
    <row r="118" spans="1:17" x14ac:dyDescent="0.25">
      <c r="A118" s="312" t="s">
        <v>393</v>
      </c>
      <c r="B118" s="313"/>
      <c r="C118" s="313"/>
      <c r="D118" s="314"/>
      <c r="E118" s="213">
        <v>0.9</v>
      </c>
      <c r="F118" s="347">
        <v>5</v>
      </c>
      <c r="G118" s="313"/>
      <c r="H118" s="313"/>
      <c r="I118" s="314"/>
      <c r="J118" s="213"/>
      <c r="K118" s="213"/>
      <c r="L118" s="12"/>
      <c r="M118" s="12">
        <v>500</v>
      </c>
      <c r="N118" s="13">
        <f>N116*(F118/100)</f>
        <v>0.06</v>
      </c>
      <c r="O118" s="209">
        <f>E118*N118</f>
        <v>5.3999999999999999E-2</v>
      </c>
      <c r="P118" s="18">
        <f>L118*O118</f>
        <v>0</v>
      </c>
      <c r="Q118" s="360"/>
    </row>
    <row r="119" spans="1:17" x14ac:dyDescent="0.25">
      <c r="A119" s="312" t="s">
        <v>393</v>
      </c>
      <c r="B119" s="313"/>
      <c r="C119" s="313"/>
      <c r="D119" s="314"/>
      <c r="E119" s="213">
        <v>0.9</v>
      </c>
      <c r="F119" s="347">
        <v>5</v>
      </c>
      <c r="G119" s="313"/>
      <c r="H119" s="313"/>
      <c r="I119" s="314"/>
      <c r="J119" s="213"/>
      <c r="K119" s="213"/>
      <c r="L119" s="12"/>
      <c r="M119" s="12">
        <v>500</v>
      </c>
      <c r="N119" s="13">
        <f>N117*(F119/100)</f>
        <v>0.06</v>
      </c>
      <c r="O119" s="209">
        <f>E119*N119</f>
        <v>5.3999999999999999E-2</v>
      </c>
      <c r="P119" s="18">
        <f>L119*O119</f>
        <v>0</v>
      </c>
      <c r="Q119" s="360"/>
    </row>
    <row r="120" spans="1:17" ht="16.5" thickBot="1" x14ac:dyDescent="0.3">
      <c r="A120" s="194"/>
      <c r="B120" s="356" t="s">
        <v>35</v>
      </c>
      <c r="C120" s="357"/>
      <c r="D120" s="357"/>
      <c r="E120" s="357"/>
      <c r="F120" s="357"/>
      <c r="G120" s="358"/>
      <c r="H120" s="212">
        <f>SUM(H116:H117)</f>
        <v>120</v>
      </c>
      <c r="I120" s="356"/>
      <c r="J120" s="357"/>
      <c r="K120" s="357"/>
      <c r="L120" s="357"/>
      <c r="M120" s="357"/>
      <c r="N120" s="357"/>
      <c r="O120" s="359"/>
      <c r="P120" s="223">
        <f>SUM(P116:P119)</f>
        <v>2511.9120000000003</v>
      </c>
      <c r="Q120" s="361"/>
    </row>
    <row r="122" spans="1:17" ht="16.5" thickBot="1" x14ac:dyDescent="0.3">
      <c r="A122" s="219" t="s">
        <v>405</v>
      </c>
    </row>
    <row r="123" spans="1:17" ht="15.75" customHeight="1" x14ac:dyDescent="0.25">
      <c r="A123" s="290" t="s">
        <v>220</v>
      </c>
      <c r="B123" s="286" t="s">
        <v>1</v>
      </c>
      <c r="C123" s="286" t="s">
        <v>2</v>
      </c>
      <c r="D123" s="286" t="s">
        <v>3</v>
      </c>
      <c r="E123" s="286" t="s">
        <v>4</v>
      </c>
      <c r="F123" s="286" t="s">
        <v>5</v>
      </c>
      <c r="G123" s="286" t="s">
        <v>6</v>
      </c>
      <c r="H123" s="286"/>
      <c r="I123" s="286"/>
      <c r="J123" s="286"/>
      <c r="K123" s="286"/>
      <c r="L123" s="286" t="s">
        <v>8</v>
      </c>
      <c r="M123" s="286" t="s">
        <v>9</v>
      </c>
      <c r="N123" s="286" t="s">
        <v>10</v>
      </c>
      <c r="O123" s="354" t="s">
        <v>414</v>
      </c>
      <c r="P123" s="286" t="s">
        <v>184</v>
      </c>
      <c r="Q123" s="287" t="s">
        <v>412</v>
      </c>
    </row>
    <row r="124" spans="1:17" ht="15" customHeight="1" x14ac:dyDescent="0.25">
      <c r="A124" s="279"/>
      <c r="B124" s="278"/>
      <c r="C124" s="278"/>
      <c r="D124" s="278"/>
      <c r="E124" s="278"/>
      <c r="F124" s="278"/>
      <c r="G124" s="278" t="s">
        <v>13</v>
      </c>
      <c r="H124" s="278" t="s">
        <v>381</v>
      </c>
      <c r="I124" s="278" t="s">
        <v>15</v>
      </c>
      <c r="J124" s="278" t="s">
        <v>16</v>
      </c>
      <c r="K124" s="278" t="s">
        <v>17</v>
      </c>
      <c r="L124" s="278"/>
      <c r="M124" s="278"/>
      <c r="N124" s="278"/>
      <c r="O124" s="355"/>
      <c r="P124" s="278"/>
      <c r="Q124" s="288"/>
    </row>
    <row r="125" spans="1:17" ht="15" customHeight="1" x14ac:dyDescent="0.25">
      <c r="A125" s="279"/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278"/>
      <c r="O125" s="355"/>
      <c r="P125" s="278"/>
      <c r="Q125" s="288"/>
    </row>
    <row r="126" spans="1:17" x14ac:dyDescent="0.25">
      <c r="A126" s="188" t="s">
        <v>18</v>
      </c>
      <c r="B126" s="213" t="s">
        <v>19</v>
      </c>
      <c r="C126" s="213"/>
      <c r="D126" s="213" t="s">
        <v>20</v>
      </c>
      <c r="E126" s="213" t="s">
        <v>21</v>
      </c>
      <c r="F126" s="213" t="s">
        <v>22</v>
      </c>
      <c r="G126" s="213" t="s">
        <v>23</v>
      </c>
      <c r="H126" s="213" t="s">
        <v>23</v>
      </c>
      <c r="I126" s="213" t="s">
        <v>24</v>
      </c>
      <c r="J126" s="213" t="s">
        <v>22</v>
      </c>
      <c r="K126" s="213" t="s">
        <v>24</v>
      </c>
      <c r="L126" s="213" t="s">
        <v>25</v>
      </c>
      <c r="M126" s="213" t="s">
        <v>25</v>
      </c>
      <c r="N126" s="213" t="s">
        <v>26</v>
      </c>
      <c r="O126" s="189" t="s">
        <v>27</v>
      </c>
      <c r="P126" s="216" t="s">
        <v>410</v>
      </c>
      <c r="Q126" s="217" t="s">
        <v>411</v>
      </c>
    </row>
    <row r="127" spans="1:17" ht="31.5" x14ac:dyDescent="0.25">
      <c r="A127" s="188">
        <v>45</v>
      </c>
      <c r="B127" s="12" t="s">
        <v>413</v>
      </c>
      <c r="C127" s="12" t="s">
        <v>172</v>
      </c>
      <c r="D127" s="213">
        <v>6032</v>
      </c>
      <c r="E127" s="213">
        <v>1.3</v>
      </c>
      <c r="F127" s="213">
        <v>50</v>
      </c>
      <c r="G127" s="16">
        <f>H127*(105)/F127</f>
        <v>126</v>
      </c>
      <c r="H127" s="213">
        <v>60</v>
      </c>
      <c r="I127" s="17">
        <f>1/(H127/(10*F127))</f>
        <v>8.3333333333333339</v>
      </c>
      <c r="J127" s="213">
        <v>30</v>
      </c>
      <c r="K127" s="17">
        <f>I127-(I127/100*J127)</f>
        <v>5.8333333333333339</v>
      </c>
      <c r="L127" s="8">
        <f>526*1.35+95</f>
        <v>805.1</v>
      </c>
      <c r="M127" s="8">
        <f>E127*L127</f>
        <v>1046.6300000000001</v>
      </c>
      <c r="N127" s="9">
        <f>A127/K127</f>
        <v>7.7142857142857135</v>
      </c>
      <c r="O127" s="209">
        <f>E127*N127</f>
        <v>10.028571428571428</v>
      </c>
      <c r="P127" s="18">
        <f>O127*L127</f>
        <v>8074.0028571428575</v>
      </c>
      <c r="Q127" s="360">
        <f>P131/A127</f>
        <v>358.84457142857144</v>
      </c>
    </row>
    <row r="128" spans="1:17" ht="31.5" x14ac:dyDescent="0.25">
      <c r="A128" s="188">
        <v>45</v>
      </c>
      <c r="B128" s="12" t="s">
        <v>413</v>
      </c>
      <c r="C128" s="12" t="s">
        <v>172</v>
      </c>
      <c r="D128" s="213">
        <v>6032</v>
      </c>
      <c r="E128" s="213">
        <v>1.3</v>
      </c>
      <c r="F128" s="213">
        <v>50</v>
      </c>
      <c r="G128" s="16">
        <f>H128*(105)/F128</f>
        <v>126</v>
      </c>
      <c r="H128" s="213">
        <v>60</v>
      </c>
      <c r="I128" s="17">
        <f>1/(H128/(10*F128))</f>
        <v>8.3333333333333339</v>
      </c>
      <c r="J128" s="213">
        <v>30</v>
      </c>
      <c r="K128" s="17">
        <f>I128-(I128/100*J128)</f>
        <v>5.8333333333333339</v>
      </c>
      <c r="L128" s="8">
        <f>526*1.35+95</f>
        <v>805.1</v>
      </c>
      <c r="M128" s="8">
        <f>E128*L128</f>
        <v>1046.6300000000001</v>
      </c>
      <c r="N128" s="9">
        <f>A128/K128</f>
        <v>7.7142857142857135</v>
      </c>
      <c r="O128" s="209">
        <f>E128*N128</f>
        <v>10.028571428571428</v>
      </c>
      <c r="P128" s="18">
        <f>O128*L128</f>
        <v>8074.0028571428575</v>
      </c>
      <c r="Q128" s="360"/>
    </row>
    <row r="129" spans="1:17" x14ac:dyDescent="0.25">
      <c r="A129" s="312" t="s">
        <v>393</v>
      </c>
      <c r="B129" s="313"/>
      <c r="C129" s="313"/>
      <c r="D129" s="314"/>
      <c r="E129" s="213">
        <v>0.9</v>
      </c>
      <c r="F129" s="347">
        <v>5</v>
      </c>
      <c r="G129" s="313"/>
      <c r="H129" s="313"/>
      <c r="I129" s="314"/>
      <c r="J129" s="213"/>
      <c r="K129" s="213"/>
      <c r="L129" s="12"/>
      <c r="M129" s="12">
        <v>500</v>
      </c>
      <c r="N129" s="13">
        <f>N127*(F129/100)</f>
        <v>0.38571428571428568</v>
      </c>
      <c r="O129" s="209">
        <f>E129*N129</f>
        <v>0.34714285714285714</v>
      </c>
      <c r="P129" s="18">
        <f>L129*O129</f>
        <v>0</v>
      </c>
      <c r="Q129" s="360"/>
    </row>
    <row r="130" spans="1:17" x14ac:dyDescent="0.25">
      <c r="A130" s="312" t="s">
        <v>393</v>
      </c>
      <c r="B130" s="313"/>
      <c r="C130" s="313"/>
      <c r="D130" s="314"/>
      <c r="E130" s="213">
        <v>0.9</v>
      </c>
      <c r="F130" s="347">
        <v>5</v>
      </c>
      <c r="G130" s="313"/>
      <c r="H130" s="313"/>
      <c r="I130" s="314"/>
      <c r="J130" s="213"/>
      <c r="K130" s="213"/>
      <c r="L130" s="12"/>
      <c r="M130" s="12">
        <v>500</v>
      </c>
      <c r="N130" s="13">
        <f>N128*(F130/100)</f>
        <v>0.38571428571428568</v>
      </c>
      <c r="O130" s="209">
        <f>E130*N130</f>
        <v>0.34714285714285714</v>
      </c>
      <c r="P130" s="18">
        <f>L130*O130</f>
        <v>0</v>
      </c>
      <c r="Q130" s="360"/>
    </row>
    <row r="131" spans="1:17" ht="16.5" thickBot="1" x14ac:dyDescent="0.3">
      <c r="A131" s="194"/>
      <c r="B131" s="356" t="s">
        <v>35</v>
      </c>
      <c r="C131" s="357"/>
      <c r="D131" s="357"/>
      <c r="E131" s="357"/>
      <c r="F131" s="357"/>
      <c r="G131" s="358"/>
      <c r="H131" s="212">
        <f>SUM(H127:H128)</f>
        <v>120</v>
      </c>
      <c r="I131" s="356"/>
      <c r="J131" s="357"/>
      <c r="K131" s="357"/>
      <c r="L131" s="357"/>
      <c r="M131" s="357"/>
      <c r="N131" s="357"/>
      <c r="O131" s="359"/>
      <c r="P131" s="223">
        <f>SUM(P127:P130)</f>
        <v>16148.005714285715</v>
      </c>
      <c r="Q131" s="361"/>
    </row>
    <row r="132" spans="1:17" ht="138" customHeight="1" x14ac:dyDescent="0.25"/>
    <row r="133" spans="1:17" ht="16.5" thickBot="1" x14ac:dyDescent="0.3">
      <c r="A133" s="219" t="s">
        <v>406</v>
      </c>
    </row>
    <row r="134" spans="1:17" ht="15.75" customHeight="1" x14ac:dyDescent="0.25">
      <c r="A134" s="290" t="s">
        <v>220</v>
      </c>
      <c r="B134" s="286" t="s">
        <v>1</v>
      </c>
      <c r="C134" s="286" t="s">
        <v>2</v>
      </c>
      <c r="D134" s="286" t="s">
        <v>3</v>
      </c>
      <c r="E134" s="286" t="s">
        <v>4</v>
      </c>
      <c r="F134" s="286" t="s">
        <v>5</v>
      </c>
      <c r="G134" s="286" t="s">
        <v>6</v>
      </c>
      <c r="H134" s="286"/>
      <c r="I134" s="286"/>
      <c r="J134" s="286"/>
      <c r="K134" s="286"/>
      <c r="L134" s="286" t="s">
        <v>8</v>
      </c>
      <c r="M134" s="286" t="s">
        <v>9</v>
      </c>
      <c r="N134" s="286" t="s">
        <v>10</v>
      </c>
      <c r="O134" s="354" t="s">
        <v>414</v>
      </c>
      <c r="P134" s="286" t="s">
        <v>184</v>
      </c>
      <c r="Q134" s="287" t="s">
        <v>412</v>
      </c>
    </row>
    <row r="135" spans="1:17" ht="15" customHeight="1" x14ac:dyDescent="0.25">
      <c r="A135" s="279"/>
      <c r="B135" s="278"/>
      <c r="C135" s="278"/>
      <c r="D135" s="278"/>
      <c r="E135" s="278"/>
      <c r="F135" s="278"/>
      <c r="G135" s="278" t="s">
        <v>13</v>
      </c>
      <c r="H135" s="278" t="s">
        <v>381</v>
      </c>
      <c r="I135" s="278" t="s">
        <v>15</v>
      </c>
      <c r="J135" s="278" t="s">
        <v>16</v>
      </c>
      <c r="K135" s="278" t="s">
        <v>17</v>
      </c>
      <c r="L135" s="278"/>
      <c r="M135" s="278"/>
      <c r="N135" s="278"/>
      <c r="O135" s="355"/>
      <c r="P135" s="278"/>
      <c r="Q135" s="288"/>
    </row>
    <row r="136" spans="1:17" ht="15" customHeight="1" x14ac:dyDescent="0.25">
      <c r="A136" s="279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8"/>
      <c r="O136" s="355"/>
      <c r="P136" s="278"/>
      <c r="Q136" s="288"/>
    </row>
    <row r="137" spans="1:17" x14ac:dyDescent="0.25">
      <c r="A137" s="188" t="s">
        <v>18</v>
      </c>
      <c r="B137" s="213" t="s">
        <v>19</v>
      </c>
      <c r="C137" s="213"/>
      <c r="D137" s="213" t="s">
        <v>20</v>
      </c>
      <c r="E137" s="213" t="s">
        <v>21</v>
      </c>
      <c r="F137" s="213" t="s">
        <v>22</v>
      </c>
      <c r="G137" s="213" t="s">
        <v>23</v>
      </c>
      <c r="H137" s="213" t="s">
        <v>23</v>
      </c>
      <c r="I137" s="213" t="s">
        <v>24</v>
      </c>
      <c r="J137" s="213" t="s">
        <v>22</v>
      </c>
      <c r="K137" s="213" t="s">
        <v>24</v>
      </c>
      <c r="L137" s="213" t="s">
        <v>25</v>
      </c>
      <c r="M137" s="213" t="s">
        <v>25</v>
      </c>
      <c r="N137" s="213" t="s">
        <v>26</v>
      </c>
      <c r="O137" s="189" t="s">
        <v>27</v>
      </c>
      <c r="P137" s="216" t="s">
        <v>410</v>
      </c>
      <c r="Q137" s="217" t="s">
        <v>411</v>
      </c>
    </row>
    <row r="138" spans="1:17" ht="31.5" x14ac:dyDescent="0.25">
      <c r="A138" s="188">
        <v>21</v>
      </c>
      <c r="B138" s="12" t="s">
        <v>413</v>
      </c>
      <c r="C138" s="12" t="s">
        <v>172</v>
      </c>
      <c r="D138" s="213">
        <v>3001</v>
      </c>
      <c r="E138" s="213">
        <v>1.3</v>
      </c>
      <c r="F138" s="213">
        <v>50</v>
      </c>
      <c r="G138" s="16">
        <f>H138*(105)/F138</f>
        <v>126</v>
      </c>
      <c r="H138" s="213">
        <v>60</v>
      </c>
      <c r="I138" s="17">
        <f>1/(H138/(10*F138))</f>
        <v>8.3333333333333339</v>
      </c>
      <c r="J138" s="213">
        <v>30</v>
      </c>
      <c r="K138" s="17">
        <f>I138-(I138/100*J138)</f>
        <v>5.8333333333333339</v>
      </c>
      <c r="L138" s="8">
        <f>647*1.35+95</f>
        <v>968.45</v>
      </c>
      <c r="M138" s="8">
        <f>E138*L138</f>
        <v>1258.9850000000001</v>
      </c>
      <c r="N138" s="9">
        <f>A138/K138</f>
        <v>3.5999999999999996</v>
      </c>
      <c r="O138" s="209">
        <f>E138*N138</f>
        <v>4.68</v>
      </c>
      <c r="P138" s="18">
        <f>O138*L138</f>
        <v>4532.3459999999995</v>
      </c>
      <c r="Q138" s="360">
        <f>P142/A138</f>
        <v>431.65199999999993</v>
      </c>
    </row>
    <row r="139" spans="1:17" ht="31.5" x14ac:dyDescent="0.25">
      <c r="A139" s="188">
        <v>21</v>
      </c>
      <c r="B139" s="12" t="s">
        <v>413</v>
      </c>
      <c r="C139" s="12" t="s">
        <v>172</v>
      </c>
      <c r="D139" s="213">
        <v>3001</v>
      </c>
      <c r="E139" s="213">
        <v>1.3</v>
      </c>
      <c r="F139" s="213">
        <v>50</v>
      </c>
      <c r="G139" s="16">
        <f>H139*(105)/F139</f>
        <v>126</v>
      </c>
      <c r="H139" s="213">
        <v>60</v>
      </c>
      <c r="I139" s="17">
        <f>1/(H139/(10*F139))</f>
        <v>8.3333333333333339</v>
      </c>
      <c r="J139" s="213">
        <v>30</v>
      </c>
      <c r="K139" s="17">
        <f>I139-(I139/100*J139)</f>
        <v>5.8333333333333339</v>
      </c>
      <c r="L139" s="8">
        <f>647*1.35+95</f>
        <v>968.45</v>
      </c>
      <c r="M139" s="8">
        <f>E139*L139</f>
        <v>1258.9850000000001</v>
      </c>
      <c r="N139" s="9">
        <f>A139/K139</f>
        <v>3.5999999999999996</v>
      </c>
      <c r="O139" s="209">
        <f>E139*N139</f>
        <v>4.68</v>
      </c>
      <c r="P139" s="18">
        <f>O139*L139</f>
        <v>4532.3459999999995</v>
      </c>
      <c r="Q139" s="360"/>
    </row>
    <row r="140" spans="1:17" x14ac:dyDescent="0.25">
      <c r="A140" s="312" t="s">
        <v>393</v>
      </c>
      <c r="B140" s="313"/>
      <c r="C140" s="313"/>
      <c r="D140" s="314"/>
      <c r="E140" s="213">
        <v>0.9</v>
      </c>
      <c r="F140" s="347">
        <v>5</v>
      </c>
      <c r="G140" s="313"/>
      <c r="H140" s="313"/>
      <c r="I140" s="314"/>
      <c r="J140" s="213"/>
      <c r="K140" s="213"/>
      <c r="L140" s="12"/>
      <c r="M140" s="12">
        <v>500</v>
      </c>
      <c r="N140" s="13">
        <f>N138*(F140/100)</f>
        <v>0.18</v>
      </c>
      <c r="O140" s="209">
        <f>E140*N140</f>
        <v>0.16200000000000001</v>
      </c>
      <c r="P140" s="18">
        <f>L140*O140</f>
        <v>0</v>
      </c>
      <c r="Q140" s="360"/>
    </row>
    <row r="141" spans="1:17" x14ac:dyDescent="0.25">
      <c r="A141" s="312" t="s">
        <v>393</v>
      </c>
      <c r="B141" s="313"/>
      <c r="C141" s="313"/>
      <c r="D141" s="314"/>
      <c r="E141" s="213">
        <v>0.9</v>
      </c>
      <c r="F141" s="347">
        <v>5</v>
      </c>
      <c r="G141" s="313"/>
      <c r="H141" s="313"/>
      <c r="I141" s="314"/>
      <c r="J141" s="213"/>
      <c r="K141" s="213"/>
      <c r="L141" s="12"/>
      <c r="M141" s="12">
        <v>500</v>
      </c>
      <c r="N141" s="13">
        <f>N139*(F141/100)</f>
        <v>0.18</v>
      </c>
      <c r="O141" s="209">
        <f>E141*N141</f>
        <v>0.16200000000000001</v>
      </c>
      <c r="P141" s="18">
        <f>L141*O141</f>
        <v>0</v>
      </c>
      <c r="Q141" s="360"/>
    </row>
    <row r="142" spans="1:17" ht="16.5" thickBot="1" x14ac:dyDescent="0.3">
      <c r="A142" s="194"/>
      <c r="B142" s="356" t="s">
        <v>35</v>
      </c>
      <c r="C142" s="357"/>
      <c r="D142" s="357"/>
      <c r="E142" s="357"/>
      <c r="F142" s="357"/>
      <c r="G142" s="358"/>
      <c r="H142" s="212">
        <f>SUM(H138:H139)</f>
        <v>120</v>
      </c>
      <c r="I142" s="356"/>
      <c r="J142" s="357"/>
      <c r="K142" s="357"/>
      <c r="L142" s="357"/>
      <c r="M142" s="357"/>
      <c r="N142" s="357"/>
      <c r="O142" s="359"/>
      <c r="P142" s="223">
        <f>SUM(P138:P141)</f>
        <v>9064.6919999999991</v>
      </c>
      <c r="Q142" s="361"/>
    </row>
    <row r="145" spans="1:17" ht="16.5" thickBot="1" x14ac:dyDescent="0.3">
      <c r="A145" s="219" t="s">
        <v>407</v>
      </c>
    </row>
    <row r="146" spans="1:17" ht="15.75" customHeight="1" x14ac:dyDescent="0.25">
      <c r="A146" s="290" t="s">
        <v>220</v>
      </c>
      <c r="B146" s="286" t="s">
        <v>1</v>
      </c>
      <c r="C146" s="286" t="s">
        <v>2</v>
      </c>
      <c r="D146" s="286" t="s">
        <v>3</v>
      </c>
      <c r="E146" s="286" t="s">
        <v>4</v>
      </c>
      <c r="F146" s="286" t="s">
        <v>5</v>
      </c>
      <c r="G146" s="286" t="s">
        <v>6</v>
      </c>
      <c r="H146" s="286"/>
      <c r="I146" s="286"/>
      <c r="J146" s="286"/>
      <c r="K146" s="286"/>
      <c r="L146" s="286" t="s">
        <v>8</v>
      </c>
      <c r="M146" s="286" t="s">
        <v>9</v>
      </c>
      <c r="N146" s="286" t="s">
        <v>10</v>
      </c>
      <c r="O146" s="354" t="s">
        <v>414</v>
      </c>
      <c r="P146" s="286" t="s">
        <v>184</v>
      </c>
      <c r="Q146" s="287" t="s">
        <v>412</v>
      </c>
    </row>
    <row r="147" spans="1:17" ht="15" customHeight="1" x14ac:dyDescent="0.25">
      <c r="A147" s="279"/>
      <c r="B147" s="278"/>
      <c r="C147" s="278"/>
      <c r="D147" s="278"/>
      <c r="E147" s="278"/>
      <c r="F147" s="278"/>
      <c r="G147" s="278" t="s">
        <v>13</v>
      </c>
      <c r="H147" s="278" t="s">
        <v>381</v>
      </c>
      <c r="I147" s="278" t="s">
        <v>15</v>
      </c>
      <c r="J147" s="278" t="s">
        <v>16</v>
      </c>
      <c r="K147" s="278" t="s">
        <v>17</v>
      </c>
      <c r="L147" s="278"/>
      <c r="M147" s="278"/>
      <c r="N147" s="278"/>
      <c r="O147" s="355"/>
      <c r="P147" s="278"/>
      <c r="Q147" s="288"/>
    </row>
    <row r="148" spans="1:17" ht="15" customHeight="1" x14ac:dyDescent="0.25">
      <c r="A148" s="279"/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278"/>
      <c r="N148" s="278"/>
      <c r="O148" s="355"/>
      <c r="P148" s="278"/>
      <c r="Q148" s="288"/>
    </row>
    <row r="149" spans="1:17" x14ac:dyDescent="0.25">
      <c r="A149" s="188" t="s">
        <v>18</v>
      </c>
      <c r="B149" s="213" t="s">
        <v>19</v>
      </c>
      <c r="C149" s="213"/>
      <c r="D149" s="213" t="s">
        <v>20</v>
      </c>
      <c r="E149" s="213" t="s">
        <v>21</v>
      </c>
      <c r="F149" s="213" t="s">
        <v>22</v>
      </c>
      <c r="G149" s="213" t="s">
        <v>23</v>
      </c>
      <c r="H149" s="213" t="s">
        <v>23</v>
      </c>
      <c r="I149" s="213" t="s">
        <v>24</v>
      </c>
      <c r="J149" s="213" t="s">
        <v>22</v>
      </c>
      <c r="K149" s="213" t="s">
        <v>24</v>
      </c>
      <c r="L149" s="213" t="s">
        <v>25</v>
      </c>
      <c r="M149" s="213" t="s">
        <v>25</v>
      </c>
      <c r="N149" s="213" t="s">
        <v>26</v>
      </c>
      <c r="O149" s="189" t="s">
        <v>27</v>
      </c>
      <c r="P149" s="216" t="s">
        <v>410</v>
      </c>
      <c r="Q149" s="217" t="s">
        <v>411</v>
      </c>
    </row>
    <row r="150" spans="1:17" ht="31.5" x14ac:dyDescent="0.25">
      <c r="A150" s="188">
        <v>12</v>
      </c>
      <c r="B150" s="12" t="s">
        <v>413</v>
      </c>
      <c r="C150" s="12" t="s">
        <v>172</v>
      </c>
      <c r="D150" s="213">
        <v>7001</v>
      </c>
      <c r="E150" s="213">
        <v>1.3</v>
      </c>
      <c r="F150" s="213">
        <v>50</v>
      </c>
      <c r="G150" s="16">
        <f>H150*(105)/F150</f>
        <v>126</v>
      </c>
      <c r="H150" s="213">
        <v>60</v>
      </c>
      <c r="I150" s="17">
        <f>1/(H150/(10*F150))</f>
        <v>8.3333333333333339</v>
      </c>
      <c r="J150" s="213">
        <v>30</v>
      </c>
      <c r="K150" s="17">
        <f>I150-(I150/100*J150)</f>
        <v>5.8333333333333339</v>
      </c>
      <c r="L150" s="8">
        <f>387*1.35+95</f>
        <v>617.45000000000005</v>
      </c>
      <c r="M150" s="8">
        <f>E150*L150</f>
        <v>802.68500000000006</v>
      </c>
      <c r="N150" s="9">
        <f>A150/K150</f>
        <v>2.0571428571428569</v>
      </c>
      <c r="O150" s="209">
        <f>E150*N150</f>
        <v>2.6742857142857139</v>
      </c>
      <c r="P150" s="18">
        <f>O150*L150</f>
        <v>1651.2377142857142</v>
      </c>
      <c r="Q150" s="360">
        <f>P154/A150</f>
        <v>275.20628571428568</v>
      </c>
    </row>
    <row r="151" spans="1:17" ht="31.5" x14ac:dyDescent="0.25">
      <c r="A151" s="188">
        <v>12</v>
      </c>
      <c r="B151" s="12" t="s">
        <v>413</v>
      </c>
      <c r="C151" s="12" t="s">
        <v>172</v>
      </c>
      <c r="D151" s="213">
        <v>7001</v>
      </c>
      <c r="E151" s="213">
        <v>1.3</v>
      </c>
      <c r="F151" s="213">
        <v>50</v>
      </c>
      <c r="G151" s="16">
        <f>H151*(105)/F151</f>
        <v>126</v>
      </c>
      <c r="H151" s="213">
        <v>60</v>
      </c>
      <c r="I151" s="17">
        <f>1/(H151/(10*F151))</f>
        <v>8.3333333333333339</v>
      </c>
      <c r="J151" s="213">
        <v>30</v>
      </c>
      <c r="K151" s="17">
        <f>I151-(I151/100*J151)</f>
        <v>5.8333333333333339</v>
      </c>
      <c r="L151" s="8">
        <f>387*1.35+95</f>
        <v>617.45000000000005</v>
      </c>
      <c r="M151" s="8">
        <f>E151*L151</f>
        <v>802.68500000000006</v>
      </c>
      <c r="N151" s="9">
        <f>A151/K151</f>
        <v>2.0571428571428569</v>
      </c>
      <c r="O151" s="209">
        <f>E151*N151</f>
        <v>2.6742857142857139</v>
      </c>
      <c r="P151" s="18">
        <f>O151*L151</f>
        <v>1651.2377142857142</v>
      </c>
      <c r="Q151" s="360"/>
    </row>
    <row r="152" spans="1:17" x14ac:dyDescent="0.25">
      <c r="A152" s="312" t="s">
        <v>393</v>
      </c>
      <c r="B152" s="313"/>
      <c r="C152" s="313"/>
      <c r="D152" s="314"/>
      <c r="E152" s="213">
        <v>0.9</v>
      </c>
      <c r="F152" s="347">
        <v>5</v>
      </c>
      <c r="G152" s="313"/>
      <c r="H152" s="313"/>
      <c r="I152" s="314"/>
      <c r="J152" s="213"/>
      <c r="K152" s="213"/>
      <c r="L152" s="12"/>
      <c r="M152" s="12">
        <v>500</v>
      </c>
      <c r="N152" s="13">
        <f>N150*(F152/100)</f>
        <v>0.10285714285714286</v>
      </c>
      <c r="O152" s="209">
        <f>E152*N152</f>
        <v>9.2571428571428568E-2</v>
      </c>
      <c r="P152" s="18">
        <f>L152*O152</f>
        <v>0</v>
      </c>
      <c r="Q152" s="360"/>
    </row>
    <row r="153" spans="1:17" x14ac:dyDescent="0.25">
      <c r="A153" s="312" t="s">
        <v>393</v>
      </c>
      <c r="B153" s="313"/>
      <c r="C153" s="313"/>
      <c r="D153" s="314"/>
      <c r="E153" s="213">
        <v>0.9</v>
      </c>
      <c r="F153" s="347">
        <v>5</v>
      </c>
      <c r="G153" s="313"/>
      <c r="H153" s="313"/>
      <c r="I153" s="314"/>
      <c r="J153" s="213"/>
      <c r="K153" s="213"/>
      <c r="L153" s="12"/>
      <c r="M153" s="12">
        <v>500</v>
      </c>
      <c r="N153" s="13">
        <f>N151*(F153/100)</f>
        <v>0.10285714285714286</v>
      </c>
      <c r="O153" s="209">
        <f>E153*N153</f>
        <v>9.2571428571428568E-2</v>
      </c>
      <c r="P153" s="18">
        <f>L153*O153</f>
        <v>0</v>
      </c>
      <c r="Q153" s="360"/>
    </row>
    <row r="154" spans="1:17" ht="16.5" thickBot="1" x14ac:dyDescent="0.3">
      <c r="A154" s="194"/>
      <c r="B154" s="356" t="s">
        <v>35</v>
      </c>
      <c r="C154" s="357"/>
      <c r="D154" s="357"/>
      <c r="E154" s="357"/>
      <c r="F154" s="357"/>
      <c r="G154" s="358"/>
      <c r="H154" s="212">
        <f>SUM(H150:H151)</f>
        <v>120</v>
      </c>
      <c r="I154" s="356"/>
      <c r="J154" s="357"/>
      <c r="K154" s="357"/>
      <c r="L154" s="357"/>
      <c r="M154" s="357"/>
      <c r="N154" s="357"/>
      <c r="O154" s="359"/>
      <c r="P154" s="223">
        <f>SUM(P150:P153)</f>
        <v>3302.4754285714284</v>
      </c>
      <c r="Q154" s="361"/>
    </row>
    <row r="157" spans="1:17" ht="16.5" thickBot="1" x14ac:dyDescent="0.3">
      <c r="A157" s="219" t="s">
        <v>408</v>
      </c>
    </row>
    <row r="158" spans="1:17" ht="15.75" customHeight="1" x14ac:dyDescent="0.25">
      <c r="A158" s="290" t="s">
        <v>220</v>
      </c>
      <c r="B158" s="286" t="s">
        <v>1</v>
      </c>
      <c r="C158" s="286" t="s">
        <v>2</v>
      </c>
      <c r="D158" s="286" t="s">
        <v>3</v>
      </c>
      <c r="E158" s="286" t="s">
        <v>4</v>
      </c>
      <c r="F158" s="286" t="s">
        <v>5</v>
      </c>
      <c r="G158" s="286" t="s">
        <v>6</v>
      </c>
      <c r="H158" s="286"/>
      <c r="I158" s="286"/>
      <c r="J158" s="286"/>
      <c r="K158" s="286"/>
      <c r="L158" s="286" t="s">
        <v>8</v>
      </c>
      <c r="M158" s="286" t="s">
        <v>9</v>
      </c>
      <c r="N158" s="286" t="s">
        <v>10</v>
      </c>
      <c r="O158" s="354" t="s">
        <v>414</v>
      </c>
      <c r="P158" s="286" t="s">
        <v>184</v>
      </c>
      <c r="Q158" s="287" t="s">
        <v>412</v>
      </c>
    </row>
    <row r="159" spans="1:17" ht="15" customHeight="1" x14ac:dyDescent="0.25">
      <c r="A159" s="279"/>
      <c r="B159" s="278"/>
      <c r="C159" s="278"/>
      <c r="D159" s="278"/>
      <c r="E159" s="278"/>
      <c r="F159" s="278"/>
      <c r="G159" s="278" t="s">
        <v>13</v>
      </c>
      <c r="H159" s="278" t="s">
        <v>381</v>
      </c>
      <c r="I159" s="278" t="s">
        <v>15</v>
      </c>
      <c r="J159" s="278" t="s">
        <v>16</v>
      </c>
      <c r="K159" s="278" t="s">
        <v>17</v>
      </c>
      <c r="L159" s="278"/>
      <c r="M159" s="278"/>
      <c r="N159" s="278"/>
      <c r="O159" s="355"/>
      <c r="P159" s="278"/>
      <c r="Q159" s="288"/>
    </row>
    <row r="160" spans="1:17" ht="15" customHeight="1" x14ac:dyDescent="0.25">
      <c r="A160" s="279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278"/>
      <c r="O160" s="355"/>
      <c r="P160" s="278"/>
      <c r="Q160" s="288"/>
    </row>
    <row r="161" spans="1:17" x14ac:dyDescent="0.25">
      <c r="A161" s="188" t="s">
        <v>18</v>
      </c>
      <c r="B161" s="213" t="s">
        <v>19</v>
      </c>
      <c r="C161" s="213"/>
      <c r="D161" s="213" t="s">
        <v>20</v>
      </c>
      <c r="E161" s="213" t="s">
        <v>21</v>
      </c>
      <c r="F161" s="213" t="s">
        <v>22</v>
      </c>
      <c r="G161" s="213" t="s">
        <v>23</v>
      </c>
      <c r="H161" s="213" t="s">
        <v>23</v>
      </c>
      <c r="I161" s="213" t="s">
        <v>24</v>
      </c>
      <c r="J161" s="213" t="s">
        <v>22</v>
      </c>
      <c r="K161" s="213" t="s">
        <v>24</v>
      </c>
      <c r="L161" s="213" t="s">
        <v>25</v>
      </c>
      <c r="M161" s="213" t="s">
        <v>25</v>
      </c>
      <c r="N161" s="213" t="s">
        <v>26</v>
      </c>
      <c r="O161" s="189" t="s">
        <v>27</v>
      </c>
      <c r="P161" s="216" t="s">
        <v>410</v>
      </c>
      <c r="Q161" s="217" t="s">
        <v>411</v>
      </c>
    </row>
    <row r="162" spans="1:17" ht="31.5" x14ac:dyDescent="0.25">
      <c r="A162" s="188">
        <v>11</v>
      </c>
      <c r="B162" s="12" t="s">
        <v>413</v>
      </c>
      <c r="C162" s="12" t="s">
        <v>172</v>
      </c>
      <c r="D162" s="213">
        <v>5005</v>
      </c>
      <c r="E162" s="213">
        <v>1.3</v>
      </c>
      <c r="F162" s="213">
        <v>50</v>
      </c>
      <c r="G162" s="16">
        <f>H162*(105)/F162</f>
        <v>126</v>
      </c>
      <c r="H162" s="213">
        <v>60</v>
      </c>
      <c r="I162" s="17">
        <f>1/(H162/(10*F162))</f>
        <v>8.3333333333333339</v>
      </c>
      <c r="J162" s="213">
        <v>30</v>
      </c>
      <c r="K162" s="17">
        <f>I162-(I162/100*J162)</f>
        <v>5.8333333333333339</v>
      </c>
      <c r="L162" s="8">
        <f>533*1.35+95</f>
        <v>814.55000000000007</v>
      </c>
      <c r="M162" s="8">
        <f>E162*L162</f>
        <v>1058.9150000000002</v>
      </c>
      <c r="N162" s="9">
        <f>A162/K162</f>
        <v>1.8857142857142855</v>
      </c>
      <c r="O162" s="209">
        <f>E162*N162</f>
        <v>2.4514285714285711</v>
      </c>
      <c r="P162" s="18">
        <f>O162*L162</f>
        <v>1996.8111428571428</v>
      </c>
      <c r="Q162" s="360">
        <f>P166/A162</f>
        <v>363.05657142857143</v>
      </c>
    </row>
    <row r="163" spans="1:17" ht="31.5" x14ac:dyDescent="0.25">
      <c r="A163" s="188">
        <v>11</v>
      </c>
      <c r="B163" s="12" t="s">
        <v>413</v>
      </c>
      <c r="C163" s="12" t="s">
        <v>172</v>
      </c>
      <c r="D163" s="213">
        <v>5005</v>
      </c>
      <c r="E163" s="213">
        <v>1.3</v>
      </c>
      <c r="F163" s="213">
        <v>50</v>
      </c>
      <c r="G163" s="16">
        <f>H163*(105)/F163</f>
        <v>126</v>
      </c>
      <c r="H163" s="213">
        <v>60</v>
      </c>
      <c r="I163" s="17">
        <f>1/(H163/(10*F163))</f>
        <v>8.3333333333333339</v>
      </c>
      <c r="J163" s="213">
        <v>30</v>
      </c>
      <c r="K163" s="17">
        <f>I163-(I163/100*J163)</f>
        <v>5.8333333333333339</v>
      </c>
      <c r="L163" s="8">
        <f>533*1.35+95</f>
        <v>814.55000000000007</v>
      </c>
      <c r="M163" s="8">
        <f>E163*L163</f>
        <v>1058.9150000000002</v>
      </c>
      <c r="N163" s="9">
        <f>A163/K163</f>
        <v>1.8857142857142855</v>
      </c>
      <c r="O163" s="209">
        <f>E163*N163</f>
        <v>2.4514285714285711</v>
      </c>
      <c r="P163" s="18">
        <f>O163*L163</f>
        <v>1996.8111428571428</v>
      </c>
      <c r="Q163" s="360"/>
    </row>
    <row r="164" spans="1:17" x14ac:dyDescent="0.25">
      <c r="A164" s="312" t="s">
        <v>393</v>
      </c>
      <c r="B164" s="313"/>
      <c r="C164" s="313"/>
      <c r="D164" s="314"/>
      <c r="E164" s="213">
        <v>0.9</v>
      </c>
      <c r="F164" s="347">
        <v>5</v>
      </c>
      <c r="G164" s="313"/>
      <c r="H164" s="313"/>
      <c r="I164" s="314"/>
      <c r="J164" s="213"/>
      <c r="K164" s="213"/>
      <c r="L164" s="12"/>
      <c r="M164" s="12">
        <v>500</v>
      </c>
      <c r="N164" s="13">
        <f>N162*(F164/100)</f>
        <v>9.4285714285714278E-2</v>
      </c>
      <c r="O164" s="209">
        <f>E164*N164</f>
        <v>8.4857142857142853E-2</v>
      </c>
      <c r="P164" s="18">
        <f>L164*O164</f>
        <v>0</v>
      </c>
      <c r="Q164" s="360"/>
    </row>
    <row r="165" spans="1:17" x14ac:dyDescent="0.25">
      <c r="A165" s="312" t="s">
        <v>393</v>
      </c>
      <c r="B165" s="313"/>
      <c r="C165" s="313"/>
      <c r="D165" s="314"/>
      <c r="E165" s="213">
        <v>0.9</v>
      </c>
      <c r="F165" s="347">
        <v>5</v>
      </c>
      <c r="G165" s="313"/>
      <c r="H165" s="313"/>
      <c r="I165" s="314"/>
      <c r="J165" s="213"/>
      <c r="K165" s="213"/>
      <c r="L165" s="12"/>
      <c r="M165" s="12">
        <v>500</v>
      </c>
      <c r="N165" s="13">
        <f>N163*(F165/100)</f>
        <v>9.4285714285714278E-2</v>
      </c>
      <c r="O165" s="209">
        <f>E165*N165</f>
        <v>8.4857142857142853E-2</v>
      </c>
      <c r="P165" s="18">
        <f>L165*O165</f>
        <v>0</v>
      </c>
      <c r="Q165" s="360"/>
    </row>
    <row r="166" spans="1:17" ht="16.5" thickBot="1" x14ac:dyDescent="0.3">
      <c r="A166" s="194"/>
      <c r="B166" s="356" t="s">
        <v>35</v>
      </c>
      <c r="C166" s="357"/>
      <c r="D166" s="357"/>
      <c r="E166" s="357"/>
      <c r="F166" s="357"/>
      <c r="G166" s="358"/>
      <c r="H166" s="212">
        <f>SUM(H162:H163)</f>
        <v>120</v>
      </c>
      <c r="I166" s="356"/>
      <c r="J166" s="357"/>
      <c r="K166" s="357"/>
      <c r="L166" s="357"/>
      <c r="M166" s="357"/>
      <c r="N166" s="357"/>
      <c r="O166" s="359"/>
      <c r="P166" s="223">
        <f>SUM(P162:P165)</f>
        <v>3993.6222857142857</v>
      </c>
      <c r="Q166" s="361"/>
    </row>
    <row r="168" spans="1:17" ht="106.5" customHeight="1" x14ac:dyDescent="0.25"/>
    <row r="169" spans="1:17" ht="16.5" thickBot="1" x14ac:dyDescent="0.3">
      <c r="A169" s="219" t="s">
        <v>409</v>
      </c>
    </row>
    <row r="170" spans="1:17" ht="15.75" customHeight="1" x14ac:dyDescent="0.25">
      <c r="A170" s="290" t="s">
        <v>220</v>
      </c>
      <c r="B170" s="286" t="s">
        <v>1</v>
      </c>
      <c r="C170" s="286" t="s">
        <v>2</v>
      </c>
      <c r="D170" s="286" t="s">
        <v>3</v>
      </c>
      <c r="E170" s="286" t="s">
        <v>4</v>
      </c>
      <c r="F170" s="286" t="s">
        <v>5</v>
      </c>
      <c r="G170" s="286" t="s">
        <v>6</v>
      </c>
      <c r="H170" s="286"/>
      <c r="I170" s="286"/>
      <c r="J170" s="286"/>
      <c r="K170" s="286"/>
      <c r="L170" s="286" t="s">
        <v>8</v>
      </c>
      <c r="M170" s="286" t="s">
        <v>9</v>
      </c>
      <c r="N170" s="286" t="s">
        <v>10</v>
      </c>
      <c r="O170" s="354" t="s">
        <v>414</v>
      </c>
      <c r="P170" s="286" t="s">
        <v>184</v>
      </c>
      <c r="Q170" s="287" t="s">
        <v>412</v>
      </c>
    </row>
    <row r="171" spans="1:17" ht="15" customHeight="1" x14ac:dyDescent="0.25">
      <c r="A171" s="279"/>
      <c r="B171" s="278"/>
      <c r="C171" s="278"/>
      <c r="D171" s="278"/>
      <c r="E171" s="278"/>
      <c r="F171" s="278"/>
      <c r="G171" s="278" t="s">
        <v>13</v>
      </c>
      <c r="H171" s="278" t="s">
        <v>381</v>
      </c>
      <c r="I171" s="278" t="s">
        <v>15</v>
      </c>
      <c r="J171" s="278" t="s">
        <v>16</v>
      </c>
      <c r="K171" s="278" t="s">
        <v>17</v>
      </c>
      <c r="L171" s="278"/>
      <c r="M171" s="278"/>
      <c r="N171" s="278"/>
      <c r="O171" s="355"/>
      <c r="P171" s="278"/>
      <c r="Q171" s="288"/>
    </row>
    <row r="172" spans="1:17" ht="15" customHeight="1" x14ac:dyDescent="0.25">
      <c r="A172" s="279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8"/>
      <c r="O172" s="355"/>
      <c r="P172" s="278"/>
      <c r="Q172" s="288"/>
    </row>
    <row r="173" spans="1:17" x14ac:dyDescent="0.25">
      <c r="A173" s="188" t="s">
        <v>18</v>
      </c>
      <c r="B173" s="213" t="s">
        <v>19</v>
      </c>
      <c r="C173" s="213"/>
      <c r="D173" s="213" t="s">
        <v>20</v>
      </c>
      <c r="E173" s="213" t="s">
        <v>21</v>
      </c>
      <c r="F173" s="213" t="s">
        <v>22</v>
      </c>
      <c r="G173" s="213" t="s">
        <v>23</v>
      </c>
      <c r="H173" s="213" t="s">
        <v>23</v>
      </c>
      <c r="I173" s="213" t="s">
        <v>24</v>
      </c>
      <c r="J173" s="213" t="s">
        <v>22</v>
      </c>
      <c r="K173" s="213" t="s">
        <v>24</v>
      </c>
      <c r="L173" s="213" t="s">
        <v>25</v>
      </c>
      <c r="M173" s="213" t="s">
        <v>25</v>
      </c>
      <c r="N173" s="213" t="s">
        <v>26</v>
      </c>
      <c r="O173" s="189" t="s">
        <v>27</v>
      </c>
      <c r="P173" s="216" t="s">
        <v>410</v>
      </c>
      <c r="Q173" s="217" t="s">
        <v>411</v>
      </c>
    </row>
    <row r="174" spans="1:17" ht="31.5" x14ac:dyDescent="0.25">
      <c r="A174" s="188">
        <v>130</v>
      </c>
      <c r="B174" s="12" t="s">
        <v>413</v>
      </c>
      <c r="C174" s="12" t="s">
        <v>172</v>
      </c>
      <c r="D174" s="213">
        <v>5005</v>
      </c>
      <c r="E174" s="213">
        <v>1.3</v>
      </c>
      <c r="F174" s="213">
        <v>50</v>
      </c>
      <c r="G174" s="16">
        <f>H174*(105)/F174</f>
        <v>126</v>
      </c>
      <c r="H174" s="213">
        <v>60</v>
      </c>
      <c r="I174" s="17">
        <f>1/(H174/(10*F174))</f>
        <v>8.3333333333333339</v>
      </c>
      <c r="J174" s="213">
        <v>30</v>
      </c>
      <c r="K174" s="17">
        <f>I174-(I174/100*J174)</f>
        <v>5.8333333333333339</v>
      </c>
      <c r="L174" s="8">
        <f>533*1.35+95</f>
        <v>814.55000000000007</v>
      </c>
      <c r="M174" s="8">
        <f>E174*L174</f>
        <v>1058.9150000000002</v>
      </c>
      <c r="N174" s="9">
        <f>A174/K174</f>
        <v>22.285714285714285</v>
      </c>
      <c r="O174" s="209">
        <f>E174*N174</f>
        <v>28.971428571428572</v>
      </c>
      <c r="P174" s="18">
        <f>O174*L174</f>
        <v>23598.677142857145</v>
      </c>
      <c r="Q174" s="360">
        <f>P178/A174</f>
        <v>363.05657142857143</v>
      </c>
    </row>
    <row r="175" spans="1:17" ht="31.5" x14ac:dyDescent="0.25">
      <c r="A175" s="188">
        <v>130</v>
      </c>
      <c r="B175" s="12" t="s">
        <v>413</v>
      </c>
      <c r="C175" s="12" t="s">
        <v>172</v>
      </c>
      <c r="D175" s="213">
        <v>5005</v>
      </c>
      <c r="E175" s="213">
        <v>1.3</v>
      </c>
      <c r="F175" s="213">
        <v>50</v>
      </c>
      <c r="G175" s="16">
        <f>H175*(105)/F175</f>
        <v>126</v>
      </c>
      <c r="H175" s="213">
        <v>60</v>
      </c>
      <c r="I175" s="17">
        <f>1/(H175/(10*F175))</f>
        <v>8.3333333333333339</v>
      </c>
      <c r="J175" s="213">
        <v>30</v>
      </c>
      <c r="K175" s="17">
        <f>I175-(I175/100*J175)</f>
        <v>5.8333333333333339</v>
      </c>
      <c r="L175" s="8">
        <f>533*1.35+95</f>
        <v>814.55000000000007</v>
      </c>
      <c r="M175" s="8">
        <f>E175*L175</f>
        <v>1058.9150000000002</v>
      </c>
      <c r="N175" s="9">
        <f>A175/K175</f>
        <v>22.285714285714285</v>
      </c>
      <c r="O175" s="209">
        <f>E175*N175</f>
        <v>28.971428571428572</v>
      </c>
      <c r="P175" s="18">
        <f>O175*L175</f>
        <v>23598.677142857145</v>
      </c>
      <c r="Q175" s="360"/>
    </row>
    <row r="176" spans="1:17" x14ac:dyDescent="0.25">
      <c r="A176" s="312" t="s">
        <v>393</v>
      </c>
      <c r="B176" s="313"/>
      <c r="C176" s="313"/>
      <c r="D176" s="314"/>
      <c r="E176" s="213">
        <v>0.9</v>
      </c>
      <c r="F176" s="347">
        <v>5</v>
      </c>
      <c r="G176" s="313"/>
      <c r="H176" s="313"/>
      <c r="I176" s="314"/>
      <c r="J176" s="213"/>
      <c r="K176" s="213"/>
      <c r="L176" s="12"/>
      <c r="M176" s="12">
        <v>500</v>
      </c>
      <c r="N176" s="13">
        <f>N174*(F176/100)</f>
        <v>1.1142857142857143</v>
      </c>
      <c r="O176" s="209">
        <f>E176*N176</f>
        <v>1.0028571428571429</v>
      </c>
      <c r="P176" s="18">
        <f>L176*O176</f>
        <v>0</v>
      </c>
      <c r="Q176" s="360"/>
    </row>
    <row r="177" spans="1:17" x14ac:dyDescent="0.25">
      <c r="A177" s="312" t="s">
        <v>393</v>
      </c>
      <c r="B177" s="313"/>
      <c r="C177" s="313"/>
      <c r="D177" s="314"/>
      <c r="E177" s="213">
        <v>0.9</v>
      </c>
      <c r="F177" s="347">
        <v>5</v>
      </c>
      <c r="G177" s="313"/>
      <c r="H177" s="313"/>
      <c r="I177" s="314"/>
      <c r="J177" s="213"/>
      <c r="K177" s="213"/>
      <c r="L177" s="12"/>
      <c r="M177" s="12">
        <v>500</v>
      </c>
      <c r="N177" s="13">
        <f>N175*(F177/100)</f>
        <v>1.1142857142857143</v>
      </c>
      <c r="O177" s="209">
        <f>E177*N177</f>
        <v>1.0028571428571429</v>
      </c>
      <c r="P177" s="18">
        <f>L177*O177</f>
        <v>0</v>
      </c>
      <c r="Q177" s="360"/>
    </row>
    <row r="178" spans="1:17" ht="16.5" thickBot="1" x14ac:dyDescent="0.3">
      <c r="A178" s="194"/>
      <c r="B178" s="356" t="s">
        <v>35</v>
      </c>
      <c r="C178" s="357"/>
      <c r="D178" s="357"/>
      <c r="E178" s="357"/>
      <c r="F178" s="357"/>
      <c r="G178" s="358"/>
      <c r="H178" s="212">
        <f>SUM(H174:H175)</f>
        <v>120</v>
      </c>
      <c r="I178" s="356"/>
      <c r="J178" s="357"/>
      <c r="K178" s="357"/>
      <c r="L178" s="357"/>
      <c r="M178" s="357"/>
      <c r="N178" s="357"/>
      <c r="O178" s="359"/>
      <c r="P178" s="223">
        <f>SUM(P174:P177)</f>
        <v>47197.354285714289</v>
      </c>
      <c r="Q178" s="361"/>
    </row>
  </sheetData>
  <mergeCells count="416">
    <mergeCell ref="P158:P160"/>
    <mergeCell ref="Q158:Q160"/>
    <mergeCell ref="Q162:Q166"/>
    <mergeCell ref="P170:P172"/>
    <mergeCell ref="Q170:Q172"/>
    <mergeCell ref="Q174:Q178"/>
    <mergeCell ref="P134:P136"/>
    <mergeCell ref="Q134:Q136"/>
    <mergeCell ref="Q138:Q142"/>
    <mergeCell ref="P146:P148"/>
    <mergeCell ref="Q146:Q148"/>
    <mergeCell ref="Q150:Q154"/>
    <mergeCell ref="P112:P114"/>
    <mergeCell ref="Q112:Q114"/>
    <mergeCell ref="Q116:Q120"/>
    <mergeCell ref="P123:P125"/>
    <mergeCell ref="Q123:Q125"/>
    <mergeCell ref="Q127:Q131"/>
    <mergeCell ref="P90:P92"/>
    <mergeCell ref="Q90:Q92"/>
    <mergeCell ref="Q94:Q98"/>
    <mergeCell ref="P101:P103"/>
    <mergeCell ref="Q101:Q103"/>
    <mergeCell ref="Q105:Q109"/>
    <mergeCell ref="P68:P70"/>
    <mergeCell ref="Q68:Q70"/>
    <mergeCell ref="Q72:Q76"/>
    <mergeCell ref="P79:P81"/>
    <mergeCell ref="Q79:Q81"/>
    <mergeCell ref="Q83:Q87"/>
    <mergeCell ref="P46:P48"/>
    <mergeCell ref="Q46:Q48"/>
    <mergeCell ref="Q50:Q54"/>
    <mergeCell ref="P57:P59"/>
    <mergeCell ref="Q57:Q59"/>
    <mergeCell ref="Q61:Q65"/>
    <mergeCell ref="P24:P26"/>
    <mergeCell ref="Q24:Q26"/>
    <mergeCell ref="Q28:Q32"/>
    <mergeCell ref="P35:P37"/>
    <mergeCell ref="Q35:Q37"/>
    <mergeCell ref="Q39:Q43"/>
    <mergeCell ref="P2:P4"/>
    <mergeCell ref="Q2:Q4"/>
    <mergeCell ref="Q6:Q10"/>
    <mergeCell ref="P13:P15"/>
    <mergeCell ref="Q13:Q15"/>
    <mergeCell ref="Q17:Q21"/>
    <mergeCell ref="K171:K172"/>
    <mergeCell ref="A176:D176"/>
    <mergeCell ref="F176:I176"/>
    <mergeCell ref="A177:D177"/>
    <mergeCell ref="F177:I177"/>
    <mergeCell ref="B178:G178"/>
    <mergeCell ref="I178:O178"/>
    <mergeCell ref="G170:H170"/>
    <mergeCell ref="I170:K170"/>
    <mergeCell ref="L170:L172"/>
    <mergeCell ref="M170:M172"/>
    <mergeCell ref="N170:N172"/>
    <mergeCell ref="O170:O172"/>
    <mergeCell ref="G171:G172"/>
    <mergeCell ref="H171:H172"/>
    <mergeCell ref="I171:I172"/>
    <mergeCell ref="J171:J172"/>
    <mergeCell ref="A170:A172"/>
    <mergeCell ref="B170:B172"/>
    <mergeCell ref="C170:C172"/>
    <mergeCell ref="D170:D172"/>
    <mergeCell ref="E170:E172"/>
    <mergeCell ref="F170:F172"/>
    <mergeCell ref="K159:K160"/>
    <mergeCell ref="A164:D164"/>
    <mergeCell ref="F164:I164"/>
    <mergeCell ref="A165:D165"/>
    <mergeCell ref="F165:I165"/>
    <mergeCell ref="B166:G166"/>
    <mergeCell ref="I166:O166"/>
    <mergeCell ref="G158:H158"/>
    <mergeCell ref="I158:K158"/>
    <mergeCell ref="L158:L160"/>
    <mergeCell ref="M158:M160"/>
    <mergeCell ref="N158:N160"/>
    <mergeCell ref="O158:O160"/>
    <mergeCell ref="G159:G160"/>
    <mergeCell ref="H159:H160"/>
    <mergeCell ref="I159:I160"/>
    <mergeCell ref="J159:J160"/>
    <mergeCell ref="A158:A160"/>
    <mergeCell ref="B158:B160"/>
    <mergeCell ref="C158:C160"/>
    <mergeCell ref="D158:D160"/>
    <mergeCell ref="E158:E160"/>
    <mergeCell ref="F158:F160"/>
    <mergeCell ref="K147:K148"/>
    <mergeCell ref="A152:D152"/>
    <mergeCell ref="F152:I152"/>
    <mergeCell ref="A153:D153"/>
    <mergeCell ref="F153:I153"/>
    <mergeCell ref="B154:G154"/>
    <mergeCell ref="I154:O154"/>
    <mergeCell ref="G146:H146"/>
    <mergeCell ref="I146:K146"/>
    <mergeCell ref="L146:L148"/>
    <mergeCell ref="M146:M148"/>
    <mergeCell ref="N146:N148"/>
    <mergeCell ref="O146:O148"/>
    <mergeCell ref="G147:G148"/>
    <mergeCell ref="H147:H148"/>
    <mergeCell ref="I147:I148"/>
    <mergeCell ref="J147:J148"/>
    <mergeCell ref="A146:A148"/>
    <mergeCell ref="B146:B148"/>
    <mergeCell ref="C146:C148"/>
    <mergeCell ref="D146:D148"/>
    <mergeCell ref="E146:E148"/>
    <mergeCell ref="F146:F148"/>
    <mergeCell ref="K135:K136"/>
    <mergeCell ref="A140:D140"/>
    <mergeCell ref="F140:I140"/>
    <mergeCell ref="A141:D141"/>
    <mergeCell ref="F141:I141"/>
    <mergeCell ref="B142:G142"/>
    <mergeCell ref="I142:O142"/>
    <mergeCell ref="G134:H134"/>
    <mergeCell ref="I134:K134"/>
    <mergeCell ref="L134:L136"/>
    <mergeCell ref="M134:M136"/>
    <mergeCell ref="N134:N136"/>
    <mergeCell ref="O134:O136"/>
    <mergeCell ref="G135:G136"/>
    <mergeCell ref="H135:H136"/>
    <mergeCell ref="I135:I136"/>
    <mergeCell ref="J135:J136"/>
    <mergeCell ref="A134:A136"/>
    <mergeCell ref="B134:B136"/>
    <mergeCell ref="C134:C136"/>
    <mergeCell ref="D134:D136"/>
    <mergeCell ref="E134:E136"/>
    <mergeCell ref="F134:F136"/>
    <mergeCell ref="K124:K125"/>
    <mergeCell ref="A129:D129"/>
    <mergeCell ref="F129:I129"/>
    <mergeCell ref="A130:D130"/>
    <mergeCell ref="F130:I130"/>
    <mergeCell ref="B131:G131"/>
    <mergeCell ref="I131:O131"/>
    <mergeCell ref="G123:H123"/>
    <mergeCell ref="I123:K123"/>
    <mergeCell ref="L123:L125"/>
    <mergeCell ref="M123:M125"/>
    <mergeCell ref="N123:N125"/>
    <mergeCell ref="O123:O125"/>
    <mergeCell ref="G124:G125"/>
    <mergeCell ref="H124:H125"/>
    <mergeCell ref="I124:I125"/>
    <mergeCell ref="J124:J125"/>
    <mergeCell ref="A123:A125"/>
    <mergeCell ref="B123:B125"/>
    <mergeCell ref="C123:C125"/>
    <mergeCell ref="D123:D125"/>
    <mergeCell ref="E123:E125"/>
    <mergeCell ref="F123:F125"/>
    <mergeCell ref="K113:K114"/>
    <mergeCell ref="A118:D118"/>
    <mergeCell ref="F118:I118"/>
    <mergeCell ref="A119:D119"/>
    <mergeCell ref="F119:I119"/>
    <mergeCell ref="B120:G120"/>
    <mergeCell ref="I120:O120"/>
    <mergeCell ref="G112:H112"/>
    <mergeCell ref="I112:K112"/>
    <mergeCell ref="L112:L114"/>
    <mergeCell ref="M112:M114"/>
    <mergeCell ref="N112:N114"/>
    <mergeCell ref="O112:O114"/>
    <mergeCell ref="G113:G114"/>
    <mergeCell ref="H113:H114"/>
    <mergeCell ref="I113:I114"/>
    <mergeCell ref="J113:J114"/>
    <mergeCell ref="A112:A114"/>
    <mergeCell ref="B112:B114"/>
    <mergeCell ref="C112:C114"/>
    <mergeCell ref="D112:D114"/>
    <mergeCell ref="E112:E114"/>
    <mergeCell ref="F112:F114"/>
    <mergeCell ref="K102:K103"/>
    <mergeCell ref="A107:D107"/>
    <mergeCell ref="F107:I107"/>
    <mergeCell ref="A108:D108"/>
    <mergeCell ref="F108:I108"/>
    <mergeCell ref="B109:G109"/>
    <mergeCell ref="I109:O109"/>
    <mergeCell ref="G101:H101"/>
    <mergeCell ref="I101:K101"/>
    <mergeCell ref="L101:L103"/>
    <mergeCell ref="M101:M103"/>
    <mergeCell ref="N101:N103"/>
    <mergeCell ref="O101:O103"/>
    <mergeCell ref="G102:G103"/>
    <mergeCell ref="H102:H103"/>
    <mergeCell ref="I102:I103"/>
    <mergeCell ref="J102:J103"/>
    <mergeCell ref="A101:A103"/>
    <mergeCell ref="B101:B103"/>
    <mergeCell ref="C101:C103"/>
    <mergeCell ref="D101:D103"/>
    <mergeCell ref="E101:E103"/>
    <mergeCell ref="F101:F103"/>
    <mergeCell ref="K91:K92"/>
    <mergeCell ref="A96:D96"/>
    <mergeCell ref="F96:I96"/>
    <mergeCell ref="A97:D97"/>
    <mergeCell ref="F97:I97"/>
    <mergeCell ref="B98:G98"/>
    <mergeCell ref="I98:O98"/>
    <mergeCell ref="G90:H90"/>
    <mergeCell ref="I90:K90"/>
    <mergeCell ref="L90:L92"/>
    <mergeCell ref="M90:M92"/>
    <mergeCell ref="N90:N92"/>
    <mergeCell ref="O90:O92"/>
    <mergeCell ref="G91:G92"/>
    <mergeCell ref="H91:H92"/>
    <mergeCell ref="I91:I92"/>
    <mergeCell ref="J91:J92"/>
    <mergeCell ref="A90:A92"/>
    <mergeCell ref="B90:B92"/>
    <mergeCell ref="C90:C92"/>
    <mergeCell ref="D90:D92"/>
    <mergeCell ref="E90:E92"/>
    <mergeCell ref="F90:F92"/>
    <mergeCell ref="K80:K81"/>
    <mergeCell ref="A85:D85"/>
    <mergeCell ref="F85:I85"/>
    <mergeCell ref="A86:D86"/>
    <mergeCell ref="F86:I86"/>
    <mergeCell ref="B87:G87"/>
    <mergeCell ref="I87:O87"/>
    <mergeCell ref="G79:H79"/>
    <mergeCell ref="I79:K79"/>
    <mergeCell ref="L79:L81"/>
    <mergeCell ref="M79:M81"/>
    <mergeCell ref="N79:N81"/>
    <mergeCell ref="O79:O81"/>
    <mergeCell ref="G80:G81"/>
    <mergeCell ref="H80:H81"/>
    <mergeCell ref="I80:I81"/>
    <mergeCell ref="J80:J81"/>
    <mergeCell ref="A79:A81"/>
    <mergeCell ref="B79:B81"/>
    <mergeCell ref="C79:C81"/>
    <mergeCell ref="D79:D81"/>
    <mergeCell ref="E79:E81"/>
    <mergeCell ref="F79:F81"/>
    <mergeCell ref="K69:K70"/>
    <mergeCell ref="A74:D74"/>
    <mergeCell ref="F74:I74"/>
    <mergeCell ref="A75:D75"/>
    <mergeCell ref="F75:I75"/>
    <mergeCell ref="B76:G76"/>
    <mergeCell ref="I76:O76"/>
    <mergeCell ref="G68:H68"/>
    <mergeCell ref="I68:K68"/>
    <mergeCell ref="L68:L70"/>
    <mergeCell ref="M68:M70"/>
    <mergeCell ref="N68:N70"/>
    <mergeCell ref="O68:O70"/>
    <mergeCell ref="G69:G70"/>
    <mergeCell ref="H69:H70"/>
    <mergeCell ref="I69:I70"/>
    <mergeCell ref="J69:J70"/>
    <mergeCell ref="A68:A70"/>
    <mergeCell ref="B68:B70"/>
    <mergeCell ref="C68:C70"/>
    <mergeCell ref="D68:D70"/>
    <mergeCell ref="E68:E70"/>
    <mergeCell ref="F68:F70"/>
    <mergeCell ref="K58:K59"/>
    <mergeCell ref="A63:D63"/>
    <mergeCell ref="F63:I63"/>
    <mergeCell ref="A64:D64"/>
    <mergeCell ref="F64:I64"/>
    <mergeCell ref="B65:G65"/>
    <mergeCell ref="I65:O65"/>
    <mergeCell ref="G57:H57"/>
    <mergeCell ref="I57:K57"/>
    <mergeCell ref="L57:L59"/>
    <mergeCell ref="M57:M59"/>
    <mergeCell ref="N57:N59"/>
    <mergeCell ref="O57:O59"/>
    <mergeCell ref="G58:G59"/>
    <mergeCell ref="H58:H59"/>
    <mergeCell ref="I58:I59"/>
    <mergeCell ref="J58:J59"/>
    <mergeCell ref="A57:A59"/>
    <mergeCell ref="B57:B59"/>
    <mergeCell ref="C57:C59"/>
    <mergeCell ref="D57:D59"/>
    <mergeCell ref="E57:E59"/>
    <mergeCell ref="F57:F59"/>
    <mergeCell ref="K47:K48"/>
    <mergeCell ref="A52:D52"/>
    <mergeCell ref="F52:I52"/>
    <mergeCell ref="A53:D53"/>
    <mergeCell ref="F53:I53"/>
    <mergeCell ref="B54:G54"/>
    <mergeCell ref="I54:O54"/>
    <mergeCell ref="G46:H46"/>
    <mergeCell ref="I46:K46"/>
    <mergeCell ref="L46:L48"/>
    <mergeCell ref="M46:M48"/>
    <mergeCell ref="N46:N48"/>
    <mergeCell ref="O46:O48"/>
    <mergeCell ref="G47:G48"/>
    <mergeCell ref="H47:H48"/>
    <mergeCell ref="I47:I48"/>
    <mergeCell ref="J47:J48"/>
    <mergeCell ref="A46:A48"/>
    <mergeCell ref="B46:B48"/>
    <mergeCell ref="C46:C48"/>
    <mergeCell ref="D46:D48"/>
    <mergeCell ref="E46:E48"/>
    <mergeCell ref="F46:F48"/>
    <mergeCell ref="K36:K37"/>
    <mergeCell ref="A41:D41"/>
    <mergeCell ref="F41:I41"/>
    <mergeCell ref="A42:D42"/>
    <mergeCell ref="F42:I42"/>
    <mergeCell ref="B43:G43"/>
    <mergeCell ref="I43:O43"/>
    <mergeCell ref="G35:H35"/>
    <mergeCell ref="I35:K35"/>
    <mergeCell ref="L35:L37"/>
    <mergeCell ref="M35:M37"/>
    <mergeCell ref="N35:N37"/>
    <mergeCell ref="O35:O37"/>
    <mergeCell ref="G36:G37"/>
    <mergeCell ref="H36:H37"/>
    <mergeCell ref="I36:I37"/>
    <mergeCell ref="J36:J37"/>
    <mergeCell ref="A35:A37"/>
    <mergeCell ref="B35:B37"/>
    <mergeCell ref="C35:C37"/>
    <mergeCell ref="D35:D37"/>
    <mergeCell ref="E35:E37"/>
    <mergeCell ref="F35:F37"/>
    <mergeCell ref="K25:K26"/>
    <mergeCell ref="A30:D30"/>
    <mergeCell ref="F30:I30"/>
    <mergeCell ref="A31:D31"/>
    <mergeCell ref="F31:I31"/>
    <mergeCell ref="B32:G32"/>
    <mergeCell ref="I32:O32"/>
    <mergeCell ref="G24:H24"/>
    <mergeCell ref="I24:K24"/>
    <mergeCell ref="L24:L26"/>
    <mergeCell ref="M24:M26"/>
    <mergeCell ref="N24:N26"/>
    <mergeCell ref="O24:O26"/>
    <mergeCell ref="G25:G26"/>
    <mergeCell ref="H25:H26"/>
    <mergeCell ref="I25:I26"/>
    <mergeCell ref="J25:J26"/>
    <mergeCell ref="A24:A26"/>
    <mergeCell ref="B24:B26"/>
    <mergeCell ref="C24:C26"/>
    <mergeCell ref="D24:D26"/>
    <mergeCell ref="E24:E26"/>
    <mergeCell ref="F24:F26"/>
    <mergeCell ref="A20:D20"/>
    <mergeCell ref="F20:I20"/>
    <mergeCell ref="B21:G21"/>
    <mergeCell ref="I21:O21"/>
    <mergeCell ref="L13:L15"/>
    <mergeCell ref="M13:M15"/>
    <mergeCell ref="N13:N15"/>
    <mergeCell ref="O13:O15"/>
    <mergeCell ref="G14:G15"/>
    <mergeCell ref="H14:H15"/>
    <mergeCell ref="I14:I15"/>
    <mergeCell ref="J14:J15"/>
    <mergeCell ref="K14:K15"/>
    <mergeCell ref="A13:A15"/>
    <mergeCell ref="B13:B15"/>
    <mergeCell ref="C13:C15"/>
    <mergeCell ref="D13:D15"/>
    <mergeCell ref="E13:E15"/>
    <mergeCell ref="F13:F15"/>
    <mergeCell ref="G13:H13"/>
    <mergeCell ref="I13:K13"/>
    <mergeCell ref="A19:D19"/>
    <mergeCell ref="F19:I19"/>
    <mergeCell ref="A8:D8"/>
    <mergeCell ref="F8:I8"/>
    <mergeCell ref="A9:D9"/>
    <mergeCell ref="F9:I9"/>
    <mergeCell ref="G2:H2"/>
    <mergeCell ref="I2:K2"/>
    <mergeCell ref="L2:L4"/>
    <mergeCell ref="M2:M4"/>
    <mergeCell ref="B10:G10"/>
    <mergeCell ref="I10:O10"/>
    <mergeCell ref="N2:N4"/>
    <mergeCell ref="O2:O4"/>
    <mergeCell ref="G3:G4"/>
    <mergeCell ref="H3:H4"/>
    <mergeCell ref="I3:I4"/>
    <mergeCell ref="J3:J4"/>
    <mergeCell ref="A2:A4"/>
    <mergeCell ref="B2:B4"/>
    <mergeCell ref="C2:C4"/>
    <mergeCell ref="D2:D4"/>
    <mergeCell ref="E2:E4"/>
    <mergeCell ref="F2:F4"/>
    <mergeCell ref="K3:K4"/>
  </mergeCells>
  <pageMargins left="0.7" right="0.7" top="0.75" bottom="0.75" header="0.3" footer="0.3"/>
  <pageSetup paperSize="9" scale="6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8A27-4E5C-4B67-964F-B59B0260679C}">
  <dimension ref="A2:S30"/>
  <sheetViews>
    <sheetView zoomScale="85" zoomScaleNormal="85" workbookViewId="0">
      <selection activeCell="D21" sqref="D21"/>
    </sheetView>
  </sheetViews>
  <sheetFormatPr defaultRowHeight="15" x14ac:dyDescent="0.25"/>
  <cols>
    <col min="1" max="1" width="12.28515625" customWidth="1"/>
    <col min="2" max="2" width="19.5703125" customWidth="1"/>
    <col min="3" max="3" width="18.140625" hidden="1" customWidth="1"/>
    <col min="4" max="4" width="14.42578125" customWidth="1"/>
    <col min="5" max="5" width="14.28515625" customWidth="1"/>
    <col min="6" max="6" width="10" customWidth="1"/>
    <col min="13" max="13" width="8.85546875" hidden="1" customWidth="1"/>
  </cols>
  <sheetData>
    <row r="2" spans="1:19" ht="15.75" x14ac:dyDescent="0.25">
      <c r="A2" s="326" t="s">
        <v>0</v>
      </c>
      <c r="B2" s="326" t="s">
        <v>1</v>
      </c>
      <c r="C2" s="326" t="s">
        <v>2</v>
      </c>
      <c r="D2" s="326" t="s">
        <v>3</v>
      </c>
      <c r="E2" s="326" t="s">
        <v>4</v>
      </c>
      <c r="F2" s="326" t="s">
        <v>5</v>
      </c>
      <c r="G2" s="329" t="s">
        <v>6</v>
      </c>
      <c r="H2" s="330"/>
      <c r="I2" s="329" t="s">
        <v>7</v>
      </c>
      <c r="J2" s="331"/>
      <c r="K2" s="330"/>
      <c r="L2" s="326" t="s">
        <v>8</v>
      </c>
      <c r="M2" s="332" t="s">
        <v>9</v>
      </c>
      <c r="N2" s="332" t="s">
        <v>10</v>
      </c>
      <c r="O2" s="332" t="s">
        <v>10</v>
      </c>
      <c r="P2" s="319" t="s">
        <v>12</v>
      </c>
    </row>
    <row r="3" spans="1:19" x14ac:dyDescent="0.25">
      <c r="A3" s="327"/>
      <c r="B3" s="327"/>
      <c r="C3" s="327"/>
      <c r="D3" s="327"/>
      <c r="E3" s="327"/>
      <c r="F3" s="327"/>
      <c r="G3" s="326" t="s">
        <v>13</v>
      </c>
      <c r="H3" s="326" t="s">
        <v>14</v>
      </c>
      <c r="I3" s="326" t="s">
        <v>15</v>
      </c>
      <c r="J3" s="326" t="s">
        <v>16</v>
      </c>
      <c r="K3" s="326" t="s">
        <v>17</v>
      </c>
      <c r="L3" s="327"/>
      <c r="M3" s="333"/>
      <c r="N3" s="333"/>
      <c r="O3" s="333"/>
      <c r="P3" s="320"/>
    </row>
    <row r="4" spans="1:19" x14ac:dyDescent="0.25">
      <c r="A4" s="328"/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34"/>
      <c r="N4" s="334"/>
      <c r="O4" s="334"/>
      <c r="P4" s="321"/>
    </row>
    <row r="5" spans="1:19" ht="15.75" x14ac:dyDescent="0.25">
      <c r="A5" s="2" t="s">
        <v>18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2" t="s">
        <v>23</v>
      </c>
      <c r="H5" s="2" t="s">
        <v>23</v>
      </c>
      <c r="I5" s="2" t="s">
        <v>24</v>
      </c>
      <c r="J5" s="2" t="s">
        <v>22</v>
      </c>
      <c r="K5" s="2" t="s">
        <v>24</v>
      </c>
      <c r="L5" s="2" t="s">
        <v>25</v>
      </c>
      <c r="M5" s="3" t="s">
        <v>25</v>
      </c>
      <c r="N5" s="3" t="s">
        <v>26</v>
      </c>
      <c r="O5" s="3" t="s">
        <v>27</v>
      </c>
      <c r="P5" s="2" t="s">
        <v>28</v>
      </c>
    </row>
    <row r="6" spans="1:19" ht="15.75" x14ac:dyDescent="0.25">
      <c r="A6" s="2">
        <v>1</v>
      </c>
      <c r="B6" s="4" t="s">
        <v>233</v>
      </c>
      <c r="C6" s="4"/>
      <c r="D6" s="2" t="s">
        <v>30</v>
      </c>
      <c r="E6" s="2">
        <v>2.6</v>
      </c>
      <c r="F6" s="2">
        <v>44</v>
      </c>
      <c r="G6" s="5">
        <f>H6*100/F6</f>
        <v>181.81818181818181</v>
      </c>
      <c r="H6" s="2">
        <v>80</v>
      </c>
      <c r="I6" s="6">
        <f>1/(H6/(10*F6))</f>
        <v>5.5</v>
      </c>
      <c r="J6" s="2">
        <v>0</v>
      </c>
      <c r="K6" s="6">
        <f>I6-(I6/100*J6)</f>
        <v>5.5</v>
      </c>
      <c r="L6" s="7">
        <f>950</f>
        <v>950</v>
      </c>
      <c r="M6" s="8">
        <f>L6*E6</f>
        <v>2470</v>
      </c>
      <c r="N6" s="9">
        <f>A6/K6</f>
        <v>0.18181818181818182</v>
      </c>
      <c r="O6" s="8">
        <f>E6*N6</f>
        <v>0.47272727272727277</v>
      </c>
      <c r="P6" s="10">
        <f>O6*L6</f>
        <v>449.09090909090912</v>
      </c>
    </row>
    <row r="7" spans="1:19" ht="15.75" x14ac:dyDescent="0.25">
      <c r="A7" s="2">
        <v>1</v>
      </c>
      <c r="B7" s="4" t="s">
        <v>234</v>
      </c>
      <c r="C7" s="4"/>
      <c r="D7" s="11" t="s">
        <v>30</v>
      </c>
      <c r="E7" s="2">
        <v>0.94</v>
      </c>
      <c r="F7" s="2">
        <v>15.7</v>
      </c>
      <c r="G7" s="5">
        <f>H7*100/F7</f>
        <v>254.77707006369428</v>
      </c>
      <c r="H7" s="2">
        <v>40</v>
      </c>
      <c r="I7" s="6">
        <f>1/(H7/(10*F7))</f>
        <v>3.9249999999999998</v>
      </c>
      <c r="J7" s="2">
        <v>0</v>
      </c>
      <c r="K7" s="6">
        <f>I7-(I7/100*J7)</f>
        <v>3.9249999999999998</v>
      </c>
      <c r="L7" s="7">
        <v>650</v>
      </c>
      <c r="M7" s="8">
        <f>L7*E7</f>
        <v>611</v>
      </c>
      <c r="N7" s="9">
        <f>A7/K7</f>
        <v>0.25477707006369427</v>
      </c>
      <c r="O7" s="9">
        <f>E7*N7</f>
        <v>0.23949044585987259</v>
      </c>
      <c r="P7" s="10">
        <f>O7*L7</f>
        <v>155.66878980891718</v>
      </c>
    </row>
    <row r="8" spans="1:19" ht="15.75" hidden="1" x14ac:dyDescent="0.25">
      <c r="A8" s="283" t="s">
        <v>33</v>
      </c>
      <c r="B8" s="284"/>
      <c r="C8" s="284"/>
      <c r="D8" s="285"/>
      <c r="E8" s="2">
        <v>0.9</v>
      </c>
      <c r="F8" s="283">
        <v>5</v>
      </c>
      <c r="G8" s="284"/>
      <c r="H8" s="284"/>
      <c r="I8" s="285"/>
      <c r="J8" s="2"/>
      <c r="K8" s="2"/>
      <c r="L8" s="4">
        <v>0</v>
      </c>
      <c r="M8" s="12">
        <v>0</v>
      </c>
      <c r="N8" s="13">
        <f>N6*(F8/100)</f>
        <v>9.0909090909090922E-3</v>
      </c>
      <c r="O8" s="9">
        <f>E8*N8</f>
        <v>8.1818181818181825E-3</v>
      </c>
      <c r="P8" s="10">
        <f>N8*L8</f>
        <v>0</v>
      </c>
    </row>
    <row r="9" spans="1:19" ht="15.75" hidden="1" x14ac:dyDescent="0.25">
      <c r="A9" s="283" t="s">
        <v>34</v>
      </c>
      <c r="B9" s="284"/>
      <c r="C9" s="284"/>
      <c r="D9" s="285"/>
      <c r="E9" s="2">
        <v>0.9</v>
      </c>
      <c r="F9" s="283">
        <v>5</v>
      </c>
      <c r="G9" s="284"/>
      <c r="H9" s="284"/>
      <c r="I9" s="285"/>
      <c r="J9" s="2"/>
      <c r="K9" s="2"/>
      <c r="L9" s="4">
        <v>0</v>
      </c>
      <c r="M9" s="12">
        <v>0</v>
      </c>
      <c r="N9" s="13">
        <f>N7*(F9/100)</f>
        <v>1.2738853503184714E-2</v>
      </c>
      <c r="O9" s="9">
        <f>E9*N9</f>
        <v>1.1464968152866243E-2</v>
      </c>
      <c r="P9" s="10">
        <f>N9*L9</f>
        <v>0</v>
      </c>
    </row>
    <row r="10" spans="1:19" ht="15.75" x14ac:dyDescent="0.25">
      <c r="A10" s="2"/>
      <c r="B10" s="283" t="s">
        <v>35</v>
      </c>
      <c r="C10" s="284"/>
      <c r="D10" s="284"/>
      <c r="E10" s="284"/>
      <c r="F10" s="284"/>
      <c r="G10" s="285"/>
      <c r="H10" s="2">
        <f>SUM(H6:H7)</f>
        <v>120</v>
      </c>
      <c r="I10" s="283"/>
      <c r="J10" s="284"/>
      <c r="K10" s="284"/>
      <c r="L10" s="284"/>
      <c r="M10" s="284"/>
      <c r="N10" s="284"/>
      <c r="O10" s="285"/>
      <c r="P10" s="10">
        <f>SUM(P6:P9)</f>
        <v>604.75969889982628</v>
      </c>
    </row>
    <row r="12" spans="1:19" ht="15.75" x14ac:dyDescent="0.25">
      <c r="A12" s="326" t="s">
        <v>0</v>
      </c>
      <c r="B12" s="326" t="s">
        <v>1</v>
      </c>
      <c r="C12" s="326" t="s">
        <v>2</v>
      </c>
      <c r="D12" s="326" t="s">
        <v>3</v>
      </c>
      <c r="E12" s="326" t="s">
        <v>4</v>
      </c>
      <c r="F12" s="326" t="s">
        <v>5</v>
      </c>
      <c r="G12" s="329" t="s">
        <v>6</v>
      </c>
      <c r="H12" s="330"/>
      <c r="I12" s="329" t="s">
        <v>7</v>
      </c>
      <c r="J12" s="331"/>
      <c r="K12" s="330"/>
      <c r="L12" s="326" t="s">
        <v>8</v>
      </c>
      <c r="M12" s="332" t="s">
        <v>9</v>
      </c>
      <c r="N12" s="332" t="s">
        <v>10</v>
      </c>
      <c r="O12" s="332" t="s">
        <v>10</v>
      </c>
      <c r="P12" s="319" t="s">
        <v>12</v>
      </c>
    </row>
    <row r="13" spans="1:19" x14ac:dyDescent="0.25">
      <c r="A13" s="327"/>
      <c r="B13" s="327"/>
      <c r="C13" s="327"/>
      <c r="D13" s="327"/>
      <c r="E13" s="327"/>
      <c r="F13" s="327"/>
      <c r="G13" s="326" t="s">
        <v>13</v>
      </c>
      <c r="H13" s="326" t="s">
        <v>14</v>
      </c>
      <c r="I13" s="326" t="s">
        <v>15</v>
      </c>
      <c r="J13" s="326" t="s">
        <v>16</v>
      </c>
      <c r="K13" s="326" t="s">
        <v>17</v>
      </c>
      <c r="L13" s="327"/>
      <c r="M13" s="333"/>
      <c r="N13" s="333"/>
      <c r="O13" s="333"/>
      <c r="P13" s="320"/>
    </row>
    <row r="14" spans="1:19" x14ac:dyDescent="0.25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34"/>
      <c r="N14" s="334"/>
      <c r="O14" s="334"/>
      <c r="P14" s="321"/>
    </row>
    <row r="15" spans="1:19" ht="15.75" x14ac:dyDescent="0.25">
      <c r="A15" s="2" t="s">
        <v>18</v>
      </c>
      <c r="B15" s="2" t="s">
        <v>19</v>
      </c>
      <c r="C15" s="2"/>
      <c r="D15" s="2" t="s">
        <v>20</v>
      </c>
      <c r="E15" s="2" t="s">
        <v>21</v>
      </c>
      <c r="F15" s="2" t="s">
        <v>22</v>
      </c>
      <c r="G15" s="2" t="s">
        <v>23</v>
      </c>
      <c r="H15" s="2" t="s">
        <v>23</v>
      </c>
      <c r="I15" s="2" t="s">
        <v>24</v>
      </c>
      <c r="J15" s="2" t="s">
        <v>22</v>
      </c>
      <c r="K15" s="2" t="s">
        <v>24</v>
      </c>
      <c r="L15" s="2" t="s">
        <v>25</v>
      </c>
      <c r="M15" s="3" t="s">
        <v>25</v>
      </c>
      <c r="N15" s="3" t="s">
        <v>26</v>
      </c>
      <c r="O15" s="3" t="s">
        <v>27</v>
      </c>
      <c r="P15" s="2" t="s">
        <v>28</v>
      </c>
      <c r="S15">
        <f>520/604-1</f>
        <v>-0.13907284768211925</v>
      </c>
    </row>
    <row r="16" spans="1:19" ht="31.5" x14ac:dyDescent="0.25">
      <c r="A16" s="2">
        <v>1</v>
      </c>
      <c r="B16" s="4" t="s">
        <v>237</v>
      </c>
      <c r="C16" s="4"/>
      <c r="D16" s="2" t="s">
        <v>30</v>
      </c>
      <c r="E16" s="2">
        <v>2.2999999999999998</v>
      </c>
      <c r="F16" s="2">
        <v>55</v>
      </c>
      <c r="G16" s="5">
        <f>H16*100/F16</f>
        <v>145.45454545454547</v>
      </c>
      <c r="H16" s="2">
        <v>80</v>
      </c>
      <c r="I16" s="6">
        <f>1/(H16/(10*F16))</f>
        <v>6.875</v>
      </c>
      <c r="J16" s="2">
        <v>0</v>
      </c>
      <c r="K16" s="6">
        <f>I16-(I16/100*J16)</f>
        <v>6.875</v>
      </c>
      <c r="L16" s="7">
        <v>1015</v>
      </c>
      <c r="M16" s="8">
        <f>L16*E16</f>
        <v>2334.5</v>
      </c>
      <c r="N16" s="9">
        <f>A16/K16</f>
        <v>0.14545454545454545</v>
      </c>
      <c r="O16" s="8">
        <f>E16*N16</f>
        <v>0.33454545454545448</v>
      </c>
      <c r="P16" s="10">
        <f>O16*L16</f>
        <v>339.56363636363631</v>
      </c>
    </row>
    <row r="17" spans="1:16" ht="15.75" x14ac:dyDescent="0.25">
      <c r="A17" s="2">
        <v>1</v>
      </c>
      <c r="B17" s="4" t="s">
        <v>238</v>
      </c>
      <c r="C17" s="4"/>
      <c r="D17" s="11" t="s">
        <v>30</v>
      </c>
      <c r="E17" s="2">
        <v>1.35</v>
      </c>
      <c r="F17" s="2">
        <v>57</v>
      </c>
      <c r="G17" s="5">
        <f>H17*100/F17</f>
        <v>210.52631578947367</v>
      </c>
      <c r="H17" s="2">
        <v>120</v>
      </c>
      <c r="I17" s="6">
        <f>1/(H17/(10*F17))</f>
        <v>4.75</v>
      </c>
      <c r="J17" s="2">
        <v>0</v>
      </c>
      <c r="K17" s="6">
        <f>I17-(I17/100*J17)</f>
        <v>4.75</v>
      </c>
      <c r="L17" s="7">
        <v>627</v>
      </c>
      <c r="M17" s="8">
        <f>603.5*1.3</f>
        <v>784.55000000000007</v>
      </c>
      <c r="N17" s="9">
        <f>A17/K17</f>
        <v>0.21052631578947367</v>
      </c>
      <c r="O17" s="9">
        <f>E17*N17</f>
        <v>0.28421052631578947</v>
      </c>
      <c r="P17" s="10">
        <f>O17*L17</f>
        <v>178.2</v>
      </c>
    </row>
    <row r="18" spans="1:16" ht="15.75" hidden="1" x14ac:dyDescent="0.25">
      <c r="A18" s="283" t="s">
        <v>33</v>
      </c>
      <c r="B18" s="284"/>
      <c r="C18" s="284"/>
      <c r="D18" s="285"/>
      <c r="E18" s="2">
        <v>0.9</v>
      </c>
      <c r="F18" s="283">
        <v>5</v>
      </c>
      <c r="G18" s="284"/>
      <c r="H18" s="284"/>
      <c r="I18" s="285"/>
      <c r="J18" s="2"/>
      <c r="K18" s="2"/>
      <c r="L18" s="4">
        <v>0</v>
      </c>
      <c r="M18" s="12">
        <v>0</v>
      </c>
      <c r="N18" s="13">
        <f>N16*(F18/100)</f>
        <v>7.2727272727272727E-3</v>
      </c>
      <c r="O18" s="9">
        <f>E18*N18</f>
        <v>6.5454545454545453E-3</v>
      </c>
      <c r="P18" s="10">
        <f>N18*L18</f>
        <v>0</v>
      </c>
    </row>
    <row r="19" spans="1:16" ht="15.75" hidden="1" x14ac:dyDescent="0.25">
      <c r="A19" s="283" t="s">
        <v>34</v>
      </c>
      <c r="B19" s="284"/>
      <c r="C19" s="284"/>
      <c r="D19" s="285"/>
      <c r="E19" s="2">
        <v>0.9</v>
      </c>
      <c r="F19" s="283">
        <v>5</v>
      </c>
      <c r="G19" s="284"/>
      <c r="H19" s="284"/>
      <c r="I19" s="285"/>
      <c r="J19" s="2"/>
      <c r="K19" s="2"/>
      <c r="L19" s="4">
        <v>0</v>
      </c>
      <c r="M19" s="12">
        <v>0</v>
      </c>
      <c r="N19" s="13">
        <f>N17*(F19/100)</f>
        <v>1.0526315789473684E-2</v>
      </c>
      <c r="O19" s="9">
        <f>E19*N19</f>
        <v>9.4736842105263164E-3</v>
      </c>
      <c r="P19" s="10">
        <f>N19*L19</f>
        <v>0</v>
      </c>
    </row>
    <row r="20" spans="1:16" ht="15.75" x14ac:dyDescent="0.25">
      <c r="A20" s="2"/>
      <c r="B20" s="283" t="s">
        <v>35</v>
      </c>
      <c r="C20" s="284"/>
      <c r="D20" s="284"/>
      <c r="E20" s="284"/>
      <c r="F20" s="284"/>
      <c r="G20" s="285"/>
      <c r="H20" s="2">
        <f>SUM(H16:H17)</f>
        <v>200</v>
      </c>
      <c r="I20" s="283"/>
      <c r="J20" s="284"/>
      <c r="K20" s="284"/>
      <c r="L20" s="284"/>
      <c r="M20" s="284"/>
      <c r="N20" s="284"/>
      <c r="O20" s="285"/>
      <c r="P20" s="10">
        <f>SUM(P16:P19)</f>
        <v>517.76363636363635</v>
      </c>
    </row>
    <row r="22" spans="1:16" ht="15.75" x14ac:dyDescent="0.25">
      <c r="A22" s="322" t="s">
        <v>0</v>
      </c>
      <c r="B22" s="322" t="s">
        <v>1</v>
      </c>
      <c r="C22" s="322" t="s">
        <v>2</v>
      </c>
      <c r="D22" s="322" t="s">
        <v>3</v>
      </c>
      <c r="E22" s="322" t="s">
        <v>4</v>
      </c>
      <c r="F22" s="322" t="s">
        <v>5</v>
      </c>
      <c r="G22" s="322" t="s">
        <v>6</v>
      </c>
      <c r="H22" s="322"/>
      <c r="I22" s="322" t="s">
        <v>7</v>
      </c>
      <c r="J22" s="322"/>
      <c r="K22" s="322"/>
      <c r="L22" s="322" t="s">
        <v>8</v>
      </c>
      <c r="M22" s="278" t="s">
        <v>9</v>
      </c>
      <c r="N22" s="278" t="s">
        <v>10</v>
      </c>
      <c r="O22" s="278" t="s">
        <v>11</v>
      </c>
      <c r="P22" s="362" t="s">
        <v>12</v>
      </c>
    </row>
    <row r="23" spans="1:16" x14ac:dyDescent="0.25">
      <c r="A23" s="322"/>
      <c r="B23" s="322"/>
      <c r="C23" s="322"/>
      <c r="D23" s="322"/>
      <c r="E23" s="322"/>
      <c r="F23" s="322"/>
      <c r="G23" s="322" t="s">
        <v>13</v>
      </c>
      <c r="H23" s="322" t="s">
        <v>14</v>
      </c>
      <c r="I23" s="322" t="s">
        <v>15</v>
      </c>
      <c r="J23" s="322" t="s">
        <v>16</v>
      </c>
      <c r="K23" s="322" t="s">
        <v>17</v>
      </c>
      <c r="L23" s="322"/>
      <c r="M23" s="278"/>
      <c r="N23" s="278"/>
      <c r="O23" s="278"/>
      <c r="P23" s="362"/>
    </row>
    <row r="24" spans="1:16" x14ac:dyDescent="0.25">
      <c r="A24" s="322"/>
      <c r="B24" s="322"/>
      <c r="C24" s="322"/>
      <c r="D24" s="322"/>
      <c r="E24" s="322"/>
      <c r="F24" s="322"/>
      <c r="G24" s="322"/>
      <c r="H24" s="322"/>
      <c r="I24" s="322"/>
      <c r="J24" s="322"/>
      <c r="K24" s="322"/>
      <c r="L24" s="322"/>
      <c r="M24" s="278"/>
      <c r="N24" s="278"/>
      <c r="O24" s="278"/>
      <c r="P24" s="362"/>
    </row>
    <row r="25" spans="1:16" ht="15.75" x14ac:dyDescent="0.25">
      <c r="A25" s="2" t="s">
        <v>18</v>
      </c>
      <c r="B25" s="2" t="s">
        <v>19</v>
      </c>
      <c r="C25" s="2"/>
      <c r="D25" s="2" t="s">
        <v>20</v>
      </c>
      <c r="E25" s="2" t="s">
        <v>21</v>
      </c>
      <c r="F25" s="2" t="s">
        <v>22</v>
      </c>
      <c r="G25" s="2" t="s">
        <v>23</v>
      </c>
      <c r="H25" s="2" t="s">
        <v>23</v>
      </c>
      <c r="I25" s="2" t="s">
        <v>24</v>
      </c>
      <c r="J25" s="2" t="s">
        <v>22</v>
      </c>
      <c r="K25" s="2" t="s">
        <v>24</v>
      </c>
      <c r="L25" s="2" t="s">
        <v>25</v>
      </c>
      <c r="M25" s="3" t="s">
        <v>25</v>
      </c>
      <c r="N25" s="3" t="s">
        <v>26</v>
      </c>
      <c r="O25" s="3" t="s">
        <v>27</v>
      </c>
      <c r="P25" s="2" t="s">
        <v>28</v>
      </c>
    </row>
    <row r="26" spans="1:16" ht="31.5" x14ac:dyDescent="0.25">
      <c r="A26" s="2">
        <v>1</v>
      </c>
      <c r="B26" s="4" t="s">
        <v>50</v>
      </c>
      <c r="C26" s="4" t="s">
        <v>48</v>
      </c>
      <c r="D26" s="2" t="s">
        <v>30</v>
      </c>
      <c r="E26" s="2">
        <v>2.4500000000000002</v>
      </c>
      <c r="F26" s="2">
        <v>67</v>
      </c>
      <c r="G26" s="5">
        <f>H26*100/F26</f>
        <v>119.40298507462687</v>
      </c>
      <c r="H26" s="2">
        <v>80</v>
      </c>
      <c r="I26" s="6">
        <f>1/(H26/(10*F26))</f>
        <v>8.375</v>
      </c>
      <c r="J26" s="2">
        <v>0</v>
      </c>
      <c r="K26" s="6">
        <f>I26-(I26/100*J26)</f>
        <v>8.375</v>
      </c>
      <c r="L26" s="7">
        <f>M26/E26</f>
        <v>1408.1632653061224</v>
      </c>
      <c r="M26" s="8">
        <v>3450</v>
      </c>
      <c r="N26" s="9">
        <f>A26/K26</f>
        <v>0.11940298507462686</v>
      </c>
      <c r="O26" s="8">
        <f>E26*N26</f>
        <v>0.29253731343283584</v>
      </c>
      <c r="P26" s="10">
        <f>O26*L26</f>
        <v>411.94029850746273</v>
      </c>
    </row>
    <row r="27" spans="1:16" ht="31.5" x14ac:dyDescent="0.25">
      <c r="A27" s="2">
        <v>1</v>
      </c>
      <c r="B27" s="4" t="s">
        <v>31</v>
      </c>
      <c r="C27" s="4" t="s">
        <v>32</v>
      </c>
      <c r="D27" s="11" t="s">
        <v>239</v>
      </c>
      <c r="E27" s="2">
        <v>1.4</v>
      </c>
      <c r="F27" s="2">
        <v>63</v>
      </c>
      <c r="G27" s="5">
        <f>H27*100/F27</f>
        <v>79.365079365079367</v>
      </c>
      <c r="H27" s="2">
        <v>50</v>
      </c>
      <c r="I27" s="6">
        <f>1/(H27/(10*F27))</f>
        <v>12.600000000000001</v>
      </c>
      <c r="J27" s="2">
        <v>0</v>
      </c>
      <c r="K27" s="6">
        <f>I27-(I27/100*J27)</f>
        <v>12.600000000000001</v>
      </c>
      <c r="L27" s="7">
        <f>M27/E27</f>
        <v>1135</v>
      </c>
      <c r="M27" s="8">
        <v>1589</v>
      </c>
      <c r="N27" s="9">
        <f>A27/K27</f>
        <v>7.9365079365079361E-2</v>
      </c>
      <c r="O27" s="9">
        <f>E27*N27</f>
        <v>0.11111111111111109</v>
      </c>
      <c r="P27" s="10">
        <f>O27*L27</f>
        <v>126.11111111111109</v>
      </c>
    </row>
    <row r="28" spans="1:16" ht="15.75" hidden="1" x14ac:dyDescent="0.25">
      <c r="A28" s="363" t="s">
        <v>33</v>
      </c>
      <c r="B28" s="363"/>
      <c r="C28" s="363"/>
      <c r="D28" s="363"/>
      <c r="E28" s="2">
        <v>0.9</v>
      </c>
      <c r="F28" s="363">
        <v>10</v>
      </c>
      <c r="G28" s="363"/>
      <c r="H28" s="363"/>
      <c r="I28" s="363"/>
      <c r="J28" s="2"/>
      <c r="K28" s="2"/>
      <c r="L28" s="4">
        <v>0</v>
      </c>
      <c r="M28" s="12">
        <v>0</v>
      </c>
      <c r="N28" s="13">
        <f>N26*(F28/100)</f>
        <v>1.1940298507462687E-2</v>
      </c>
      <c r="O28" s="9">
        <f>E28*N28</f>
        <v>1.0746268656716419E-2</v>
      </c>
      <c r="P28" s="10">
        <f>N28*L28</f>
        <v>0</v>
      </c>
    </row>
    <row r="29" spans="1:16" ht="15.75" hidden="1" x14ac:dyDescent="0.25">
      <c r="A29" s="363" t="s">
        <v>34</v>
      </c>
      <c r="B29" s="363"/>
      <c r="C29" s="363"/>
      <c r="D29" s="363"/>
      <c r="E29" s="2">
        <v>0.9</v>
      </c>
      <c r="F29" s="363">
        <v>10</v>
      </c>
      <c r="G29" s="363"/>
      <c r="H29" s="363"/>
      <c r="I29" s="363"/>
      <c r="J29" s="2"/>
      <c r="K29" s="2"/>
      <c r="L29" s="4">
        <v>0</v>
      </c>
      <c r="M29" s="12">
        <v>0</v>
      </c>
      <c r="N29" s="13">
        <f>N27*(F29/100)</f>
        <v>7.9365079365079361E-3</v>
      </c>
      <c r="O29" s="9">
        <f>E29*N29</f>
        <v>7.1428571428571426E-3</v>
      </c>
      <c r="P29" s="10">
        <f>N29*L29</f>
        <v>0</v>
      </c>
    </row>
    <row r="30" spans="1:16" ht="15.75" x14ac:dyDescent="0.25">
      <c r="A30" s="2"/>
      <c r="B30" s="363" t="s">
        <v>35</v>
      </c>
      <c r="C30" s="363"/>
      <c r="D30" s="363"/>
      <c r="E30" s="363"/>
      <c r="F30" s="363"/>
      <c r="G30" s="363"/>
      <c r="H30" s="2">
        <f>SUM(H26:H27)</f>
        <v>130</v>
      </c>
      <c r="I30" s="363"/>
      <c r="J30" s="363"/>
      <c r="K30" s="363"/>
      <c r="L30" s="363"/>
      <c r="M30" s="363"/>
      <c r="N30" s="363"/>
      <c r="O30" s="363"/>
      <c r="P30" s="10">
        <f>SUM(P26:P29)</f>
        <v>538.05140961857387</v>
      </c>
    </row>
  </sheetData>
  <mergeCells count="72">
    <mergeCell ref="A28:D28"/>
    <mergeCell ref="F28:I28"/>
    <mergeCell ref="A29:D29"/>
    <mergeCell ref="F29:I29"/>
    <mergeCell ref="B30:G30"/>
    <mergeCell ref="I30:O30"/>
    <mergeCell ref="P22:P24"/>
    <mergeCell ref="G23:G24"/>
    <mergeCell ref="H23:H24"/>
    <mergeCell ref="I23:I24"/>
    <mergeCell ref="J23:J24"/>
    <mergeCell ref="K23:K24"/>
    <mergeCell ref="G22:H22"/>
    <mergeCell ref="I22:K22"/>
    <mergeCell ref="L22:L24"/>
    <mergeCell ref="M22:M24"/>
    <mergeCell ref="N22:N24"/>
    <mergeCell ref="O22:O24"/>
    <mergeCell ref="F22:F24"/>
    <mergeCell ref="A18:D18"/>
    <mergeCell ref="F18:I18"/>
    <mergeCell ref="A19:D19"/>
    <mergeCell ref="F19:I19"/>
    <mergeCell ref="B20:G20"/>
    <mergeCell ref="I20:O20"/>
    <mergeCell ref="A22:A24"/>
    <mergeCell ref="B22:B24"/>
    <mergeCell ref="C22:C24"/>
    <mergeCell ref="D22:D24"/>
    <mergeCell ref="E22:E24"/>
    <mergeCell ref="P12:P14"/>
    <mergeCell ref="G13:G14"/>
    <mergeCell ref="H13:H14"/>
    <mergeCell ref="I13:I14"/>
    <mergeCell ref="J13:J14"/>
    <mergeCell ref="K13:K14"/>
    <mergeCell ref="G12:H12"/>
    <mergeCell ref="I12:K12"/>
    <mergeCell ref="L12:L14"/>
    <mergeCell ref="M12:M14"/>
    <mergeCell ref="N12:N14"/>
    <mergeCell ref="O12:O14"/>
    <mergeCell ref="F12:F14"/>
    <mergeCell ref="A8:D8"/>
    <mergeCell ref="F8:I8"/>
    <mergeCell ref="A9:D9"/>
    <mergeCell ref="F9:I9"/>
    <mergeCell ref="B10:G10"/>
    <mergeCell ref="I10:O10"/>
    <mergeCell ref="A12:A14"/>
    <mergeCell ref="B12:B14"/>
    <mergeCell ref="C12:C14"/>
    <mergeCell ref="D12:D14"/>
    <mergeCell ref="E12:E14"/>
    <mergeCell ref="P2:P4"/>
    <mergeCell ref="G3:G4"/>
    <mergeCell ref="H3:H4"/>
    <mergeCell ref="I3:I4"/>
    <mergeCell ref="J3:J4"/>
    <mergeCell ref="K3:K4"/>
    <mergeCell ref="G2:H2"/>
    <mergeCell ref="I2:K2"/>
    <mergeCell ref="L2:L4"/>
    <mergeCell ref="M2:M4"/>
    <mergeCell ref="N2:N4"/>
    <mergeCell ref="O2:O4"/>
    <mergeCell ref="F2:F4"/>
    <mergeCell ref="A2:A4"/>
    <mergeCell ref="B2:B4"/>
    <mergeCell ref="C2:C4"/>
    <mergeCell ref="D2:D4"/>
    <mergeCell ref="E2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6"/>
  <sheetViews>
    <sheetView zoomScale="70" zoomScaleNormal="70" workbookViewId="0">
      <selection activeCell="A13" sqref="A13:XFD13"/>
    </sheetView>
  </sheetViews>
  <sheetFormatPr defaultColWidth="9.140625" defaultRowHeight="15" x14ac:dyDescent="0.25"/>
  <cols>
    <col min="1" max="1" width="10.7109375" style="14" customWidth="1"/>
    <col min="2" max="2" width="28.28515625" style="14" customWidth="1"/>
    <col min="3" max="3" width="14.85546875" style="14" customWidth="1"/>
    <col min="4" max="4" width="11.5703125" style="14" customWidth="1"/>
    <col min="5" max="5" width="14" style="14" hidden="1" customWidth="1"/>
    <col min="6" max="6" width="9.140625" style="14" hidden="1" customWidth="1"/>
    <col min="7" max="8" width="9.140625" style="14" customWidth="1"/>
    <col min="9" max="9" width="11.7109375" style="14" customWidth="1"/>
    <col min="10" max="11" width="9.140625" style="14" customWidth="1"/>
    <col min="12" max="12" width="12.5703125" style="14" customWidth="1"/>
    <col min="13" max="13" width="9.140625" style="14" customWidth="1"/>
    <col min="14" max="14" width="17.140625" style="14" hidden="1" customWidth="1"/>
    <col min="15" max="15" width="22" style="14" customWidth="1"/>
    <col min="16" max="16" width="18" style="14" customWidth="1"/>
    <col min="17" max="17" width="16.140625" style="14" customWidth="1"/>
    <col min="18" max="16384" width="9.140625" style="14"/>
  </cols>
  <sheetData>
    <row r="1" spans="1:17" x14ac:dyDescent="0.25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0"/>
    </row>
    <row r="2" spans="1:17" x14ac:dyDescent="0.25">
      <c r="A2" s="37"/>
      <c r="Q2" s="31"/>
    </row>
    <row r="3" spans="1:17" x14ac:dyDescent="0.25">
      <c r="A3" s="37"/>
      <c r="Q3" s="31"/>
    </row>
    <row r="4" spans="1:17" x14ac:dyDescent="0.25">
      <c r="A4" s="37"/>
      <c r="Q4" s="31"/>
    </row>
    <row r="5" spans="1:17" ht="132" customHeight="1" thickBot="1" x14ac:dyDescent="0.3">
      <c r="A5" s="37"/>
      <c r="Q5" s="31"/>
    </row>
    <row r="6" spans="1:17" ht="22.5" customHeight="1" x14ac:dyDescent="0.25">
      <c r="A6" s="336" t="s">
        <v>194</v>
      </c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64"/>
    </row>
    <row r="7" spans="1:17" ht="36" customHeight="1" thickBot="1" x14ac:dyDescent="0.3">
      <c r="A7" s="340" t="s">
        <v>195</v>
      </c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65"/>
    </row>
    <row r="8" spans="1:17" s="15" customFormat="1" ht="15.75" customHeight="1" x14ac:dyDescent="0.25">
      <c r="A8" s="317" t="s">
        <v>0</v>
      </c>
      <c r="B8" s="324" t="s">
        <v>1</v>
      </c>
      <c r="C8" s="324" t="s">
        <v>2</v>
      </c>
      <c r="D8" s="324" t="s">
        <v>3</v>
      </c>
      <c r="E8" s="324" t="s">
        <v>4</v>
      </c>
      <c r="F8" s="324" t="s">
        <v>5</v>
      </c>
      <c r="G8" s="324" t="s">
        <v>6</v>
      </c>
      <c r="H8" s="324"/>
      <c r="I8" s="324" t="s">
        <v>7</v>
      </c>
      <c r="J8" s="324"/>
      <c r="K8" s="324"/>
      <c r="L8" s="324" t="s">
        <v>8</v>
      </c>
      <c r="M8" s="286" t="s">
        <v>9</v>
      </c>
      <c r="N8" s="286" t="s">
        <v>10</v>
      </c>
      <c r="O8" s="286" t="s">
        <v>11</v>
      </c>
      <c r="P8" s="286" t="s">
        <v>196</v>
      </c>
      <c r="Q8" s="366" t="s">
        <v>12</v>
      </c>
    </row>
    <row r="9" spans="1:17" s="15" customFormat="1" ht="15.75" x14ac:dyDescent="0.25">
      <c r="A9" s="318"/>
      <c r="B9" s="322"/>
      <c r="C9" s="322"/>
      <c r="D9" s="322"/>
      <c r="E9" s="322"/>
      <c r="F9" s="322"/>
      <c r="G9" s="322" t="s">
        <v>13</v>
      </c>
      <c r="H9" s="322" t="s">
        <v>14</v>
      </c>
      <c r="I9" s="322" t="s">
        <v>15</v>
      </c>
      <c r="J9" s="322" t="s">
        <v>16</v>
      </c>
      <c r="K9" s="322" t="s">
        <v>17</v>
      </c>
      <c r="L9" s="322"/>
      <c r="M9" s="278"/>
      <c r="N9" s="278"/>
      <c r="O9" s="278"/>
      <c r="P9" s="278"/>
      <c r="Q9" s="367"/>
    </row>
    <row r="10" spans="1:17" s="15" customFormat="1" ht="15.75" x14ac:dyDescent="0.25">
      <c r="A10" s="318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278"/>
      <c r="N10" s="278"/>
      <c r="O10" s="278"/>
      <c r="P10" s="278"/>
      <c r="Q10" s="367"/>
    </row>
    <row r="11" spans="1:17" s="15" customFormat="1" ht="28.5" customHeight="1" x14ac:dyDescent="0.25">
      <c r="A11" s="20" t="s">
        <v>18</v>
      </c>
      <c r="B11" s="2" t="s">
        <v>19</v>
      </c>
      <c r="C11" s="2"/>
      <c r="D11" s="2" t="s">
        <v>20</v>
      </c>
      <c r="E11" s="2" t="s">
        <v>21</v>
      </c>
      <c r="F11" s="2" t="s">
        <v>22</v>
      </c>
      <c r="G11" s="2" t="s">
        <v>23</v>
      </c>
      <c r="H11" s="2" t="s">
        <v>23</v>
      </c>
      <c r="I11" s="2" t="s">
        <v>24</v>
      </c>
      <c r="J11" s="2" t="s">
        <v>22</v>
      </c>
      <c r="K11" s="2" t="s">
        <v>24</v>
      </c>
      <c r="L11" s="2" t="s">
        <v>25</v>
      </c>
      <c r="M11" s="3" t="s">
        <v>25</v>
      </c>
      <c r="N11" s="3" t="s">
        <v>26</v>
      </c>
      <c r="O11" s="3" t="s">
        <v>27</v>
      </c>
      <c r="P11" s="3" t="s">
        <v>27</v>
      </c>
      <c r="Q11" s="21" t="s">
        <v>28</v>
      </c>
    </row>
    <row r="12" spans="1:17" s="15" customFormat="1" ht="32.25" customHeight="1" x14ac:dyDescent="0.25">
      <c r="A12" s="20">
        <v>1</v>
      </c>
      <c r="B12" s="4" t="s">
        <v>167</v>
      </c>
      <c r="C12" s="4" t="s">
        <v>29</v>
      </c>
      <c r="D12" s="2"/>
      <c r="E12" s="2">
        <v>1</v>
      </c>
      <c r="F12" s="2">
        <v>83.4</v>
      </c>
      <c r="G12" s="5">
        <f>H12*100/F12</f>
        <v>1079.1366906474818</v>
      </c>
      <c r="H12" s="2">
        <v>900</v>
      </c>
      <c r="I12" s="6">
        <f>1/(H12/(10*F12))</f>
        <v>0.92666666666666675</v>
      </c>
      <c r="J12" s="2">
        <v>30</v>
      </c>
      <c r="K12" s="6">
        <f>I12-(I12/100*J12)</f>
        <v>0.64866666666666672</v>
      </c>
      <c r="L12" s="7">
        <v>831</v>
      </c>
      <c r="M12" s="8">
        <v>831</v>
      </c>
      <c r="N12" s="8">
        <f>A12/K12</f>
        <v>1.541623843782117</v>
      </c>
      <c r="O12" s="8">
        <v>1.08</v>
      </c>
      <c r="P12" s="84">
        <f>A12/K12*E12</f>
        <v>1.541623843782117</v>
      </c>
      <c r="Q12" s="22">
        <f>P12*L12</f>
        <v>1281.0894141829392</v>
      </c>
    </row>
    <row r="13" spans="1:17" s="15" customFormat="1" ht="38.25" customHeight="1" thickBot="1" x14ac:dyDescent="0.3">
      <c r="A13" s="23"/>
      <c r="B13" s="323" t="s">
        <v>35</v>
      </c>
      <c r="C13" s="323"/>
      <c r="D13" s="323"/>
      <c r="E13" s="323"/>
      <c r="F13" s="323"/>
      <c r="G13" s="323"/>
      <c r="H13" s="24">
        <f>SUM(H12:H12)</f>
        <v>900</v>
      </c>
      <c r="I13" s="323" t="s">
        <v>64</v>
      </c>
      <c r="J13" s="323"/>
      <c r="K13" s="323"/>
      <c r="L13" s="32"/>
      <c r="M13" s="32"/>
      <c r="N13" s="32"/>
      <c r="O13" s="33">
        <f>O12</f>
        <v>1.08</v>
      </c>
      <c r="P13" s="85">
        <f>SUM(P12)</f>
        <v>1.541623843782117</v>
      </c>
      <c r="Q13" s="25">
        <f>SUM(Q12:Q12)</f>
        <v>1281.0894141829392</v>
      </c>
    </row>
    <row r="15" spans="1:17" ht="15.75" thickBot="1" x14ac:dyDescent="0.3"/>
    <row r="16" spans="1:17" x14ac:dyDescent="0.25">
      <c r="A16" s="336" t="s">
        <v>197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64"/>
    </row>
    <row r="17" spans="1:17" ht="15.75" thickBot="1" x14ac:dyDescent="0.3">
      <c r="A17" s="340" t="s">
        <v>195</v>
      </c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65"/>
    </row>
    <row r="18" spans="1:17" ht="15.75" x14ac:dyDescent="0.25">
      <c r="A18" s="317" t="s">
        <v>0</v>
      </c>
      <c r="B18" s="324" t="s">
        <v>1</v>
      </c>
      <c r="C18" s="324" t="s">
        <v>2</v>
      </c>
      <c r="D18" s="324" t="s">
        <v>3</v>
      </c>
      <c r="E18" s="324" t="s">
        <v>4</v>
      </c>
      <c r="F18" s="324" t="s">
        <v>5</v>
      </c>
      <c r="G18" s="324" t="s">
        <v>6</v>
      </c>
      <c r="H18" s="324"/>
      <c r="I18" s="324" t="s">
        <v>7</v>
      </c>
      <c r="J18" s="324"/>
      <c r="K18" s="324"/>
      <c r="L18" s="324" t="s">
        <v>8</v>
      </c>
      <c r="M18" s="286" t="s">
        <v>9</v>
      </c>
      <c r="N18" s="286" t="s">
        <v>10</v>
      </c>
      <c r="O18" s="286" t="s">
        <v>11</v>
      </c>
      <c r="P18" s="286" t="s">
        <v>196</v>
      </c>
      <c r="Q18" s="366" t="s">
        <v>12</v>
      </c>
    </row>
    <row r="19" spans="1:17" x14ac:dyDescent="0.25">
      <c r="A19" s="318"/>
      <c r="B19" s="322"/>
      <c r="C19" s="322"/>
      <c r="D19" s="322"/>
      <c r="E19" s="322"/>
      <c r="F19" s="322"/>
      <c r="G19" s="322" t="s">
        <v>13</v>
      </c>
      <c r="H19" s="322" t="s">
        <v>14</v>
      </c>
      <c r="I19" s="322" t="s">
        <v>15</v>
      </c>
      <c r="J19" s="322" t="s">
        <v>16</v>
      </c>
      <c r="K19" s="322" t="s">
        <v>17</v>
      </c>
      <c r="L19" s="322"/>
      <c r="M19" s="278"/>
      <c r="N19" s="278"/>
      <c r="O19" s="278"/>
      <c r="P19" s="278"/>
      <c r="Q19" s="367"/>
    </row>
    <row r="20" spans="1:17" x14ac:dyDescent="0.25">
      <c r="A20" s="318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278"/>
      <c r="N20" s="278"/>
      <c r="O20" s="278"/>
      <c r="P20" s="278"/>
      <c r="Q20" s="367"/>
    </row>
    <row r="21" spans="1:17" ht="15.75" x14ac:dyDescent="0.25">
      <c r="A21" s="20" t="s">
        <v>18</v>
      </c>
      <c r="B21" s="2" t="s">
        <v>19</v>
      </c>
      <c r="C21" s="2"/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23</v>
      </c>
      <c r="I21" s="2" t="s">
        <v>24</v>
      </c>
      <c r="J21" s="2" t="s">
        <v>22</v>
      </c>
      <c r="K21" s="2" t="s">
        <v>24</v>
      </c>
      <c r="L21" s="2" t="s">
        <v>25</v>
      </c>
      <c r="M21" s="3" t="s">
        <v>25</v>
      </c>
      <c r="N21" s="3" t="s">
        <v>26</v>
      </c>
      <c r="O21" s="3" t="s">
        <v>27</v>
      </c>
      <c r="P21" s="3" t="s">
        <v>27</v>
      </c>
      <c r="Q21" s="21" t="s">
        <v>28</v>
      </c>
    </row>
    <row r="22" spans="1:17" ht="31.5" x14ac:dyDescent="0.25">
      <c r="A22" s="20">
        <v>1</v>
      </c>
      <c r="B22" s="4" t="s">
        <v>198</v>
      </c>
      <c r="C22" s="4" t="s">
        <v>29</v>
      </c>
      <c r="D22" s="2"/>
      <c r="E22" s="2">
        <v>1</v>
      </c>
      <c r="F22" s="2">
        <v>83.4</v>
      </c>
      <c r="G22" s="5">
        <f>H22*100/F22</f>
        <v>1762.5899280575538</v>
      </c>
      <c r="H22" s="2">
        <v>1470</v>
      </c>
      <c r="I22" s="6">
        <f>1/(H22/(10*F22))</f>
        <v>0.56734693877551023</v>
      </c>
      <c r="J22" s="2">
        <v>30</v>
      </c>
      <c r="K22" s="6">
        <f>I22-(I22/100*J22)</f>
        <v>0.39714285714285713</v>
      </c>
      <c r="L22" s="7">
        <v>831</v>
      </c>
      <c r="M22" s="8">
        <v>831</v>
      </c>
      <c r="N22" s="8">
        <f>A22/K22</f>
        <v>2.5179856115107913</v>
      </c>
      <c r="O22" s="8">
        <v>1.764</v>
      </c>
      <c r="P22" s="84">
        <f>A22/K22*E22</f>
        <v>2.5179856115107913</v>
      </c>
      <c r="Q22" s="22">
        <f>P22*L22</f>
        <v>2092.4460431654675</v>
      </c>
    </row>
    <row r="23" spans="1:17" ht="19.5" customHeight="1" thickBot="1" x14ac:dyDescent="0.3">
      <c r="A23" s="23"/>
      <c r="B23" s="323" t="s">
        <v>35</v>
      </c>
      <c r="C23" s="323"/>
      <c r="D23" s="323"/>
      <c r="E23" s="323"/>
      <c r="F23" s="323"/>
      <c r="G23" s="323"/>
      <c r="H23" s="24">
        <f>SUM(H22:H22)</f>
        <v>1470</v>
      </c>
      <c r="I23" s="323" t="s">
        <v>64</v>
      </c>
      <c r="J23" s="323"/>
      <c r="K23" s="323"/>
      <c r="L23" s="32"/>
      <c r="M23" s="32"/>
      <c r="N23" s="32"/>
      <c r="O23" s="33">
        <f>O22</f>
        <v>1.764</v>
      </c>
      <c r="P23" s="85">
        <f>SUM(P22)</f>
        <v>2.5179856115107913</v>
      </c>
      <c r="Q23" s="25">
        <f>SUM(Q22:Q22)</f>
        <v>2092.4460431654675</v>
      </c>
    </row>
    <row r="26" spans="1:17" x14ac:dyDescent="0.25">
      <c r="A26" s="315" t="s">
        <v>199</v>
      </c>
      <c r="B26" s="316"/>
      <c r="C26" s="316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</row>
  </sheetData>
  <mergeCells count="47">
    <mergeCell ref="K19:K20"/>
    <mergeCell ref="B23:G23"/>
    <mergeCell ref="I23:K23"/>
    <mergeCell ref="A26:Q26"/>
    <mergeCell ref="L18:L20"/>
    <mergeCell ref="M18:M20"/>
    <mergeCell ref="N18:N20"/>
    <mergeCell ref="O18:O20"/>
    <mergeCell ref="P18:P20"/>
    <mergeCell ref="Q18:Q20"/>
    <mergeCell ref="C18:C20"/>
    <mergeCell ref="D18:D20"/>
    <mergeCell ref="E18:E20"/>
    <mergeCell ref="F18:F20"/>
    <mergeCell ref="G18:H18"/>
    <mergeCell ref="I18:K18"/>
    <mergeCell ref="G19:G20"/>
    <mergeCell ref="H19:H20"/>
    <mergeCell ref="I19:I20"/>
    <mergeCell ref="J19:J20"/>
    <mergeCell ref="A6:Q6"/>
    <mergeCell ref="A7:Q7"/>
    <mergeCell ref="A16:Q16"/>
    <mergeCell ref="A17:Q17"/>
    <mergeCell ref="A18:A20"/>
    <mergeCell ref="B18:B20"/>
    <mergeCell ref="B13:G13"/>
    <mergeCell ref="I13:K13"/>
    <mergeCell ref="M8:M10"/>
    <mergeCell ref="N8:N10"/>
    <mergeCell ref="O8:O10"/>
    <mergeCell ref="Q8:Q10"/>
    <mergeCell ref="P8:P10"/>
    <mergeCell ref="G9:G10"/>
    <mergeCell ref="H9:H10"/>
    <mergeCell ref="I9:I10"/>
    <mergeCell ref="J9:J10"/>
    <mergeCell ref="K9:K10"/>
    <mergeCell ref="F8:F10"/>
    <mergeCell ref="G8:H8"/>
    <mergeCell ref="I8:K8"/>
    <mergeCell ref="L8:L10"/>
    <mergeCell ref="A8:A10"/>
    <mergeCell ref="B8:B10"/>
    <mergeCell ref="C8:C10"/>
    <mergeCell ref="D8:D10"/>
    <mergeCell ref="E8:E10"/>
  </mergeCells>
  <pageMargins left="0.7" right="0.7" top="0.75" bottom="0.75" header="0.3" footer="0.3"/>
  <pageSetup paperSize="9" scale="65" firstPageNumber="4294967295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3562-D151-4657-B43A-B4797ACF03C8}">
  <sheetPr>
    <pageSetUpPr fitToPage="1"/>
  </sheetPr>
  <dimension ref="A1:P54"/>
  <sheetViews>
    <sheetView topLeftCell="A45" zoomScale="85" zoomScaleNormal="85" workbookViewId="0">
      <selection activeCell="S15" sqref="S15"/>
    </sheetView>
  </sheetViews>
  <sheetFormatPr defaultRowHeight="15" x14ac:dyDescent="0.25"/>
  <cols>
    <col min="1" max="1" width="11.42578125" style="14" customWidth="1"/>
    <col min="2" max="2" width="19.28515625" style="14" customWidth="1"/>
    <col min="3" max="3" width="13" style="14" customWidth="1"/>
    <col min="4" max="4" width="9.140625" style="14"/>
    <col min="5" max="5" width="12.5703125" style="14" customWidth="1"/>
    <col min="6" max="8" width="9.140625" style="14"/>
    <col min="9" max="9" width="0" style="14" hidden="1" customWidth="1"/>
    <col min="10" max="10" width="14.28515625" style="14" customWidth="1"/>
    <col min="11" max="11" width="1.7109375" style="14" hidden="1" customWidth="1"/>
    <col min="12" max="12" width="13.28515625" style="14" customWidth="1"/>
    <col min="13" max="13" width="11.42578125" style="14" hidden="1" customWidth="1"/>
    <col min="14" max="14" width="16.140625" style="14" hidden="1" customWidth="1"/>
    <col min="15" max="15" width="16" style="14" customWidth="1"/>
    <col min="16" max="16" width="15.28515625" style="14" customWidth="1"/>
    <col min="17" max="16384" width="9.140625" style="14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idden="1" x14ac:dyDescent="0.25"/>
    <row r="6" spans="1:16" hidden="1" x14ac:dyDescent="0.25"/>
    <row r="7" spans="1:16" hidden="1" x14ac:dyDescent="0.25"/>
    <row r="9" spans="1:16" x14ac:dyDescent="0.25">
      <c r="A9" s="377" t="s">
        <v>282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7"/>
      <c r="O9" s="377"/>
      <c r="P9" s="377"/>
    </row>
    <row r="10" spans="1:16" ht="15.75" x14ac:dyDescent="0.25">
      <c r="A10" s="326" t="s">
        <v>0</v>
      </c>
      <c r="B10" s="326" t="s">
        <v>1</v>
      </c>
      <c r="C10" s="326" t="s">
        <v>2</v>
      </c>
      <c r="D10" s="326" t="s">
        <v>3</v>
      </c>
      <c r="E10" s="326" t="s">
        <v>4</v>
      </c>
      <c r="F10" s="326" t="s">
        <v>5</v>
      </c>
      <c r="G10" s="329" t="s">
        <v>6</v>
      </c>
      <c r="H10" s="330"/>
      <c r="I10" s="368" t="s">
        <v>289</v>
      </c>
      <c r="J10" s="369"/>
      <c r="K10" s="370"/>
      <c r="L10" s="326" t="s">
        <v>8</v>
      </c>
      <c r="M10" s="332" t="s">
        <v>9</v>
      </c>
      <c r="N10" s="332" t="s">
        <v>10</v>
      </c>
      <c r="O10" s="332" t="s">
        <v>10</v>
      </c>
      <c r="P10" s="319" t="s">
        <v>12</v>
      </c>
    </row>
    <row r="11" spans="1:16" ht="15" customHeight="1" x14ac:dyDescent="0.25">
      <c r="A11" s="327"/>
      <c r="B11" s="327"/>
      <c r="C11" s="327"/>
      <c r="D11" s="327"/>
      <c r="E11" s="327"/>
      <c r="F11" s="327"/>
      <c r="G11" s="326" t="s">
        <v>13</v>
      </c>
      <c r="H11" s="326" t="s">
        <v>14</v>
      </c>
      <c r="I11" s="371"/>
      <c r="J11" s="372"/>
      <c r="K11" s="373"/>
      <c r="L11" s="327"/>
      <c r="M11" s="333"/>
      <c r="N11" s="333"/>
      <c r="O11" s="333"/>
      <c r="P11" s="320"/>
    </row>
    <row r="12" spans="1:16" ht="15" customHeight="1" x14ac:dyDescent="0.25">
      <c r="A12" s="328"/>
      <c r="B12" s="328"/>
      <c r="C12" s="328"/>
      <c r="D12" s="328"/>
      <c r="E12" s="328"/>
      <c r="F12" s="328"/>
      <c r="G12" s="328"/>
      <c r="H12" s="328"/>
      <c r="I12" s="374"/>
      <c r="J12" s="375"/>
      <c r="K12" s="376"/>
      <c r="L12" s="328"/>
      <c r="M12" s="334"/>
      <c r="N12" s="334"/>
      <c r="O12" s="334"/>
      <c r="P12" s="321"/>
    </row>
    <row r="13" spans="1:16" ht="63" x14ac:dyDescent="0.25">
      <c r="A13" s="128" t="s">
        <v>18</v>
      </c>
      <c r="B13" s="128" t="s">
        <v>19</v>
      </c>
      <c r="C13" s="128"/>
      <c r="D13" s="128" t="s">
        <v>20</v>
      </c>
      <c r="E13" s="128" t="s">
        <v>21</v>
      </c>
      <c r="F13" s="128" t="s">
        <v>22</v>
      </c>
      <c r="G13" s="128" t="s">
        <v>23</v>
      </c>
      <c r="H13" s="128" t="s">
        <v>23</v>
      </c>
      <c r="I13" s="128" t="s">
        <v>24</v>
      </c>
      <c r="J13" s="128" t="s">
        <v>22</v>
      </c>
      <c r="K13" s="128" t="s">
        <v>24</v>
      </c>
      <c r="L13" s="128" t="s">
        <v>25</v>
      </c>
      <c r="M13" s="127" t="s">
        <v>25</v>
      </c>
      <c r="N13" s="127" t="s">
        <v>26</v>
      </c>
      <c r="O13" s="127" t="s">
        <v>27</v>
      </c>
      <c r="P13" s="128" t="s">
        <v>28</v>
      </c>
    </row>
    <row r="14" spans="1:16" ht="31.5" x14ac:dyDescent="0.25">
      <c r="A14" s="128">
        <v>1</v>
      </c>
      <c r="B14" s="4" t="s">
        <v>65</v>
      </c>
      <c r="C14" s="4" t="s">
        <v>29</v>
      </c>
      <c r="D14" s="128" t="s">
        <v>30</v>
      </c>
      <c r="E14" s="128">
        <v>1.5</v>
      </c>
      <c r="F14" s="128">
        <v>74</v>
      </c>
      <c r="G14" s="5">
        <f>H14*100/F14</f>
        <v>189.18918918918919</v>
      </c>
      <c r="H14" s="128">
        <v>140</v>
      </c>
      <c r="I14" s="6">
        <f>1/(H14/(10*F14))</f>
        <v>5.2857142857142856</v>
      </c>
      <c r="J14" s="128">
        <v>0</v>
      </c>
      <c r="K14" s="6">
        <f>I14-(I14/100*J14)</f>
        <v>5.2857142857142856</v>
      </c>
      <c r="L14" s="7">
        <f>720</f>
        <v>720</v>
      </c>
      <c r="M14" s="8">
        <f>L14*E14</f>
        <v>1080</v>
      </c>
      <c r="N14" s="9">
        <f>A14/K14</f>
        <v>0.1891891891891892</v>
      </c>
      <c r="O14" s="8">
        <f>E14*N14</f>
        <v>0.28378378378378377</v>
      </c>
      <c r="P14" s="10">
        <f>O14*L14</f>
        <v>204.32432432432432</v>
      </c>
    </row>
    <row r="15" spans="1:16" ht="15.75" x14ac:dyDescent="0.25">
      <c r="A15" s="128">
        <v>1</v>
      </c>
      <c r="B15" s="4" t="s">
        <v>287</v>
      </c>
      <c r="C15" s="4" t="s">
        <v>32</v>
      </c>
      <c r="D15" s="11">
        <v>7036</v>
      </c>
      <c r="E15" s="128">
        <v>1.4</v>
      </c>
      <c r="F15" s="128">
        <v>63</v>
      </c>
      <c r="G15" s="5">
        <f>H15*100/F15</f>
        <v>95.238095238095241</v>
      </c>
      <c r="H15" s="128">
        <v>60</v>
      </c>
      <c r="I15" s="6">
        <f>1/(H15/(10*F15))</f>
        <v>10.5</v>
      </c>
      <c r="J15" s="128">
        <v>0</v>
      </c>
      <c r="K15" s="6">
        <f>I15-(I15/100*J15)</f>
        <v>10.5</v>
      </c>
      <c r="L15" s="7">
        <f>970</f>
        <v>970</v>
      </c>
      <c r="M15" s="8">
        <f>L15*E15</f>
        <v>1358</v>
      </c>
      <c r="N15" s="9">
        <f>A15/K15</f>
        <v>9.5238095238095233E-2</v>
      </c>
      <c r="O15" s="9">
        <f>E15*N15</f>
        <v>0.1333333333333333</v>
      </c>
      <c r="P15" s="10">
        <f>O15*L15</f>
        <v>129.33333333333331</v>
      </c>
    </row>
    <row r="16" spans="1:16" ht="15.75" x14ac:dyDescent="0.25">
      <c r="A16" s="283" t="s">
        <v>288</v>
      </c>
      <c r="B16" s="284"/>
      <c r="C16" s="284"/>
      <c r="D16" s="285"/>
      <c r="E16" s="128"/>
      <c r="F16" s="283"/>
      <c r="G16" s="284"/>
      <c r="H16" s="284"/>
      <c r="I16" s="285"/>
      <c r="J16" s="128"/>
      <c r="K16" s="128"/>
      <c r="L16" s="4"/>
      <c r="M16" s="12">
        <v>420</v>
      </c>
      <c r="N16" s="13"/>
      <c r="O16" s="9"/>
      <c r="P16" s="10">
        <f>N14*0.05*M16</f>
        <v>3.9729729729729732</v>
      </c>
    </row>
    <row r="17" spans="1:16" ht="15.75" x14ac:dyDescent="0.25">
      <c r="A17" s="283" t="s">
        <v>288</v>
      </c>
      <c r="B17" s="284"/>
      <c r="C17" s="284"/>
      <c r="D17" s="285"/>
      <c r="E17" s="128"/>
      <c r="F17" s="283"/>
      <c r="G17" s="284"/>
      <c r="H17" s="284"/>
      <c r="I17" s="285"/>
      <c r="J17" s="128"/>
      <c r="K17" s="128"/>
      <c r="L17" s="4"/>
      <c r="M17" s="12">
        <v>420</v>
      </c>
      <c r="N17" s="13"/>
      <c r="O17" s="9"/>
      <c r="P17" s="10">
        <f>N15*0.05*M17</f>
        <v>2</v>
      </c>
    </row>
    <row r="18" spans="1:16" ht="15.75" x14ac:dyDescent="0.25">
      <c r="A18" s="128"/>
      <c r="B18" s="283" t="s">
        <v>35</v>
      </c>
      <c r="C18" s="284"/>
      <c r="D18" s="284"/>
      <c r="E18" s="284"/>
      <c r="F18" s="284"/>
      <c r="G18" s="285"/>
      <c r="H18" s="128">
        <f>SUM(H14:H15)</f>
        <v>200</v>
      </c>
      <c r="I18" s="283"/>
      <c r="J18" s="284"/>
      <c r="K18" s="284"/>
      <c r="L18" s="284"/>
      <c r="M18" s="284"/>
      <c r="N18" s="284"/>
      <c r="O18" s="285"/>
      <c r="P18" s="10">
        <f>SUM(P14:P17)</f>
        <v>339.63063063063061</v>
      </c>
    </row>
    <row r="21" spans="1:16" x14ac:dyDescent="0.25">
      <c r="A21" s="377" t="s">
        <v>283</v>
      </c>
      <c r="B21" s="377"/>
      <c r="C21" s="377"/>
      <c r="D21" s="377"/>
      <c r="E21" s="377"/>
      <c r="F21" s="377"/>
      <c r="G21" s="377"/>
      <c r="H21" s="377"/>
      <c r="I21" s="377"/>
      <c r="J21" s="377"/>
      <c r="K21" s="377"/>
      <c r="L21" s="377"/>
      <c r="M21" s="377"/>
      <c r="N21" s="377"/>
      <c r="O21" s="377"/>
      <c r="P21" s="377"/>
    </row>
    <row r="22" spans="1:16" ht="15.75" x14ac:dyDescent="0.25">
      <c r="A22" s="326" t="s">
        <v>0</v>
      </c>
      <c r="B22" s="326" t="s">
        <v>1</v>
      </c>
      <c r="C22" s="326" t="s">
        <v>2</v>
      </c>
      <c r="D22" s="326" t="s">
        <v>3</v>
      </c>
      <c r="E22" s="326" t="s">
        <v>4</v>
      </c>
      <c r="F22" s="326" t="s">
        <v>5</v>
      </c>
      <c r="G22" s="329" t="s">
        <v>6</v>
      </c>
      <c r="H22" s="330"/>
      <c r="I22" s="368" t="s">
        <v>289</v>
      </c>
      <c r="J22" s="369"/>
      <c r="K22" s="370"/>
      <c r="L22" s="326" t="s">
        <v>8</v>
      </c>
      <c r="M22" s="332" t="s">
        <v>9</v>
      </c>
      <c r="N22" s="332" t="s">
        <v>10</v>
      </c>
      <c r="O22" s="332" t="s">
        <v>10</v>
      </c>
      <c r="P22" s="319" t="s">
        <v>12</v>
      </c>
    </row>
    <row r="23" spans="1:16" ht="15" customHeight="1" x14ac:dyDescent="0.25">
      <c r="A23" s="327"/>
      <c r="B23" s="327"/>
      <c r="C23" s="327"/>
      <c r="D23" s="327"/>
      <c r="E23" s="327"/>
      <c r="F23" s="327"/>
      <c r="G23" s="326" t="s">
        <v>13</v>
      </c>
      <c r="H23" s="326" t="s">
        <v>14</v>
      </c>
      <c r="I23" s="371"/>
      <c r="J23" s="372"/>
      <c r="K23" s="373"/>
      <c r="L23" s="327"/>
      <c r="M23" s="333"/>
      <c r="N23" s="333"/>
      <c r="O23" s="333"/>
      <c r="P23" s="320"/>
    </row>
    <row r="24" spans="1:16" ht="15" customHeight="1" x14ac:dyDescent="0.25">
      <c r="A24" s="328"/>
      <c r="B24" s="328"/>
      <c r="C24" s="328"/>
      <c r="D24" s="328"/>
      <c r="E24" s="328"/>
      <c r="F24" s="328"/>
      <c r="G24" s="328"/>
      <c r="H24" s="328"/>
      <c r="I24" s="374"/>
      <c r="J24" s="375"/>
      <c r="K24" s="376"/>
      <c r="L24" s="328"/>
      <c r="M24" s="334"/>
      <c r="N24" s="334"/>
      <c r="O24" s="334"/>
      <c r="P24" s="321"/>
    </row>
    <row r="25" spans="1:16" ht="63" x14ac:dyDescent="0.25">
      <c r="A25" s="128" t="s">
        <v>18</v>
      </c>
      <c r="B25" s="128" t="s">
        <v>19</v>
      </c>
      <c r="C25" s="128"/>
      <c r="D25" s="128" t="s">
        <v>20</v>
      </c>
      <c r="E25" s="128" t="s">
        <v>21</v>
      </c>
      <c r="F25" s="128" t="s">
        <v>22</v>
      </c>
      <c r="G25" s="128" t="s">
        <v>23</v>
      </c>
      <c r="H25" s="128" t="s">
        <v>23</v>
      </c>
      <c r="I25" s="128" t="s">
        <v>24</v>
      </c>
      <c r="J25" s="128" t="s">
        <v>22</v>
      </c>
      <c r="K25" s="128" t="s">
        <v>24</v>
      </c>
      <c r="L25" s="128" t="s">
        <v>25</v>
      </c>
      <c r="M25" s="127" t="s">
        <v>25</v>
      </c>
      <c r="N25" s="127" t="s">
        <v>26</v>
      </c>
      <c r="O25" s="127" t="s">
        <v>27</v>
      </c>
      <c r="P25" s="128" t="s">
        <v>28</v>
      </c>
    </row>
    <row r="26" spans="1:16" ht="31.5" x14ac:dyDescent="0.25">
      <c r="A26" s="128">
        <v>1</v>
      </c>
      <c r="B26" s="4" t="s">
        <v>65</v>
      </c>
      <c r="C26" s="4" t="s">
        <v>29</v>
      </c>
      <c r="D26" s="128" t="s">
        <v>30</v>
      </c>
      <c r="E26" s="128">
        <v>1.5</v>
      </c>
      <c r="F26" s="128">
        <v>74</v>
      </c>
      <c r="G26" s="5">
        <f>H26*100/F26</f>
        <v>189.18918918918919</v>
      </c>
      <c r="H26" s="128">
        <v>140</v>
      </c>
      <c r="I26" s="6">
        <f>1/(H26/(10*F26))</f>
        <v>5.2857142857142856</v>
      </c>
      <c r="J26" s="128">
        <v>30</v>
      </c>
      <c r="K26" s="6">
        <f>I26-(I26/100*J26)</f>
        <v>3.7</v>
      </c>
      <c r="L26" s="7">
        <f>720</f>
        <v>720</v>
      </c>
      <c r="M26" s="8">
        <f>L26*E26</f>
        <v>1080</v>
      </c>
      <c r="N26" s="9">
        <f>A26/K26</f>
        <v>0.27027027027027023</v>
      </c>
      <c r="O26" s="8">
        <f>E26*N26</f>
        <v>0.40540540540540537</v>
      </c>
      <c r="P26" s="10">
        <f>O26*L26</f>
        <v>291.89189189189187</v>
      </c>
    </row>
    <row r="27" spans="1:16" ht="15.75" x14ac:dyDescent="0.25">
      <c r="A27" s="128">
        <v>1</v>
      </c>
      <c r="B27" s="4" t="s">
        <v>287</v>
      </c>
      <c r="C27" s="4" t="s">
        <v>32</v>
      </c>
      <c r="D27" s="11">
        <v>7036</v>
      </c>
      <c r="E27" s="128">
        <v>1.4</v>
      </c>
      <c r="F27" s="128">
        <v>63</v>
      </c>
      <c r="G27" s="5">
        <f>H27*100/F27</f>
        <v>95.238095238095241</v>
      </c>
      <c r="H27" s="128">
        <v>60</v>
      </c>
      <c r="I27" s="6">
        <f>1/(H27/(10*F27))</f>
        <v>10.5</v>
      </c>
      <c r="J27" s="128">
        <v>30</v>
      </c>
      <c r="K27" s="6">
        <f>I27-(I27/100*J27)</f>
        <v>7.35</v>
      </c>
      <c r="L27" s="7">
        <f>970</f>
        <v>970</v>
      </c>
      <c r="M27" s="8">
        <f>L27*E27</f>
        <v>1358</v>
      </c>
      <c r="N27" s="9">
        <f>A27/K27</f>
        <v>0.1360544217687075</v>
      </c>
      <c r="O27" s="9">
        <f>E27*N27</f>
        <v>0.19047619047619049</v>
      </c>
      <c r="P27" s="10">
        <f>O27*L27</f>
        <v>184.76190476190479</v>
      </c>
    </row>
    <row r="28" spans="1:16" ht="15.75" x14ac:dyDescent="0.25">
      <c r="A28" s="283" t="s">
        <v>288</v>
      </c>
      <c r="B28" s="284"/>
      <c r="C28" s="284"/>
      <c r="D28" s="285"/>
      <c r="E28" s="128"/>
      <c r="F28" s="283"/>
      <c r="G28" s="284"/>
      <c r="H28" s="284"/>
      <c r="I28" s="285"/>
      <c r="J28" s="128"/>
      <c r="K28" s="128"/>
      <c r="L28" s="4"/>
      <c r="M28" s="12">
        <v>420</v>
      </c>
      <c r="N28" s="13"/>
      <c r="O28" s="9"/>
      <c r="P28" s="10">
        <f>N26*0.05*M28</f>
        <v>5.6756756756756754</v>
      </c>
    </row>
    <row r="29" spans="1:16" ht="15.75" x14ac:dyDescent="0.25">
      <c r="A29" s="283" t="s">
        <v>288</v>
      </c>
      <c r="B29" s="284"/>
      <c r="C29" s="284"/>
      <c r="D29" s="285"/>
      <c r="E29" s="128"/>
      <c r="F29" s="283"/>
      <c r="G29" s="284"/>
      <c r="H29" s="284"/>
      <c r="I29" s="285"/>
      <c r="J29" s="128"/>
      <c r="K29" s="128"/>
      <c r="L29" s="4"/>
      <c r="M29" s="12">
        <v>420</v>
      </c>
      <c r="N29" s="13"/>
      <c r="O29" s="9"/>
      <c r="P29" s="10">
        <f>N27*0.05*M29</f>
        <v>2.8571428571428572</v>
      </c>
    </row>
    <row r="30" spans="1:16" ht="15.75" x14ac:dyDescent="0.25">
      <c r="A30" s="128"/>
      <c r="B30" s="283" t="s">
        <v>35</v>
      </c>
      <c r="C30" s="284"/>
      <c r="D30" s="284"/>
      <c r="E30" s="284"/>
      <c r="F30" s="284"/>
      <c r="G30" s="285"/>
      <c r="H30" s="128">
        <f>SUM(H26:H27)</f>
        <v>200</v>
      </c>
      <c r="I30" s="283"/>
      <c r="J30" s="284"/>
      <c r="K30" s="284"/>
      <c r="L30" s="284"/>
      <c r="M30" s="284"/>
      <c r="N30" s="284"/>
      <c r="O30" s="285"/>
      <c r="P30" s="10">
        <f>SUM(P26:P29)</f>
        <v>485.1866151866152</v>
      </c>
    </row>
    <row r="33" spans="1:16" x14ac:dyDescent="0.25">
      <c r="A33" s="377" t="s">
        <v>284</v>
      </c>
      <c r="B33" s="377"/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</row>
    <row r="34" spans="1:16" ht="15.75" x14ac:dyDescent="0.25">
      <c r="A34" s="326" t="s">
        <v>0</v>
      </c>
      <c r="B34" s="326" t="s">
        <v>1</v>
      </c>
      <c r="C34" s="326" t="s">
        <v>2</v>
      </c>
      <c r="D34" s="326" t="s">
        <v>3</v>
      </c>
      <c r="E34" s="326" t="s">
        <v>4</v>
      </c>
      <c r="F34" s="326" t="s">
        <v>5</v>
      </c>
      <c r="G34" s="329" t="s">
        <v>6</v>
      </c>
      <c r="H34" s="330"/>
      <c r="I34" s="368" t="s">
        <v>289</v>
      </c>
      <c r="J34" s="369"/>
      <c r="K34" s="370"/>
      <c r="L34" s="326" t="s">
        <v>8</v>
      </c>
      <c r="M34" s="332" t="s">
        <v>9</v>
      </c>
      <c r="N34" s="332" t="s">
        <v>10</v>
      </c>
      <c r="O34" s="332" t="s">
        <v>10</v>
      </c>
      <c r="P34" s="319" t="s">
        <v>12</v>
      </c>
    </row>
    <row r="35" spans="1:16" ht="15" customHeight="1" x14ac:dyDescent="0.25">
      <c r="A35" s="327"/>
      <c r="B35" s="327"/>
      <c r="C35" s="327"/>
      <c r="D35" s="327"/>
      <c r="E35" s="327"/>
      <c r="F35" s="327"/>
      <c r="G35" s="326" t="s">
        <v>13</v>
      </c>
      <c r="H35" s="326" t="s">
        <v>14</v>
      </c>
      <c r="I35" s="371"/>
      <c r="J35" s="372"/>
      <c r="K35" s="373"/>
      <c r="L35" s="327"/>
      <c r="M35" s="333"/>
      <c r="N35" s="333"/>
      <c r="O35" s="333"/>
      <c r="P35" s="320"/>
    </row>
    <row r="36" spans="1:16" ht="15" customHeight="1" x14ac:dyDescent="0.25">
      <c r="A36" s="328"/>
      <c r="B36" s="328"/>
      <c r="C36" s="328"/>
      <c r="D36" s="328"/>
      <c r="E36" s="328"/>
      <c r="F36" s="328"/>
      <c r="G36" s="328"/>
      <c r="H36" s="328"/>
      <c r="I36" s="374"/>
      <c r="J36" s="375"/>
      <c r="K36" s="376"/>
      <c r="L36" s="328"/>
      <c r="M36" s="334"/>
      <c r="N36" s="334"/>
      <c r="O36" s="334"/>
      <c r="P36" s="321"/>
    </row>
    <row r="37" spans="1:16" ht="63" x14ac:dyDescent="0.25">
      <c r="A37" s="128" t="s">
        <v>18</v>
      </c>
      <c r="B37" s="128" t="s">
        <v>19</v>
      </c>
      <c r="C37" s="128"/>
      <c r="D37" s="128" t="s">
        <v>20</v>
      </c>
      <c r="E37" s="128" t="s">
        <v>21</v>
      </c>
      <c r="F37" s="128" t="s">
        <v>22</v>
      </c>
      <c r="G37" s="128" t="s">
        <v>23</v>
      </c>
      <c r="H37" s="128" t="s">
        <v>23</v>
      </c>
      <c r="I37" s="128" t="s">
        <v>24</v>
      </c>
      <c r="J37" s="128" t="s">
        <v>22</v>
      </c>
      <c r="K37" s="128" t="s">
        <v>24</v>
      </c>
      <c r="L37" s="128" t="s">
        <v>25</v>
      </c>
      <c r="M37" s="127" t="s">
        <v>25</v>
      </c>
      <c r="N37" s="127" t="s">
        <v>26</v>
      </c>
      <c r="O37" s="127" t="s">
        <v>27</v>
      </c>
      <c r="P37" s="128" t="s">
        <v>28</v>
      </c>
    </row>
    <row r="38" spans="1:16" ht="15.75" x14ac:dyDescent="0.25">
      <c r="A38" s="128">
        <v>1</v>
      </c>
      <c r="B38" s="4" t="s">
        <v>286</v>
      </c>
      <c r="C38" s="4" t="s">
        <v>29</v>
      </c>
      <c r="D38" s="128" t="s">
        <v>30</v>
      </c>
      <c r="E38" s="128">
        <v>1.5</v>
      </c>
      <c r="F38" s="128">
        <v>80</v>
      </c>
      <c r="G38" s="5">
        <f>H38*100/F38</f>
        <v>175</v>
      </c>
      <c r="H38" s="128">
        <v>140</v>
      </c>
      <c r="I38" s="6">
        <f>1/(H38/(10*F38))</f>
        <v>5.7142857142857144</v>
      </c>
      <c r="J38" s="128">
        <v>0</v>
      </c>
      <c r="K38" s="6">
        <f>I38-(I38/100*J38)</f>
        <v>5.7142857142857144</v>
      </c>
      <c r="L38" s="7">
        <v>786</v>
      </c>
      <c r="M38" s="8">
        <f>L38*E38</f>
        <v>1179</v>
      </c>
      <c r="N38" s="9">
        <f>A38/K38</f>
        <v>0.17499999999999999</v>
      </c>
      <c r="O38" s="8">
        <f>E38*N38</f>
        <v>0.26249999999999996</v>
      </c>
      <c r="P38" s="10">
        <f>O38*L38</f>
        <v>206.32499999999996</v>
      </c>
    </row>
    <row r="39" spans="1:16" ht="15.75" x14ac:dyDescent="0.25">
      <c r="A39" s="128">
        <v>1</v>
      </c>
      <c r="B39" s="4" t="s">
        <v>287</v>
      </c>
      <c r="C39" s="4" t="s">
        <v>32</v>
      </c>
      <c r="D39" s="11">
        <v>7036</v>
      </c>
      <c r="E39" s="128">
        <v>1.4</v>
      </c>
      <c r="F39" s="128">
        <v>63</v>
      </c>
      <c r="G39" s="5">
        <f>H39*100/F39</f>
        <v>95.238095238095241</v>
      </c>
      <c r="H39" s="128">
        <v>60</v>
      </c>
      <c r="I39" s="6">
        <f>1/(H39/(10*F39))</f>
        <v>10.5</v>
      </c>
      <c r="J39" s="128">
        <v>0</v>
      </c>
      <c r="K39" s="6">
        <f>I39-(I39/100*J39)</f>
        <v>10.5</v>
      </c>
      <c r="L39" s="7">
        <f>1358/1.4</f>
        <v>970.00000000000011</v>
      </c>
      <c r="M39" s="8">
        <f>L39*E39</f>
        <v>1358</v>
      </c>
      <c r="N39" s="9">
        <f>A39/K39</f>
        <v>9.5238095238095233E-2</v>
      </c>
      <c r="O39" s="9">
        <f>E39*N39</f>
        <v>0.1333333333333333</v>
      </c>
      <c r="P39" s="10">
        <f>O39*L39</f>
        <v>129.33333333333331</v>
      </c>
    </row>
    <row r="40" spans="1:16" ht="15.75" x14ac:dyDescent="0.25">
      <c r="A40" s="283" t="s">
        <v>288</v>
      </c>
      <c r="B40" s="284"/>
      <c r="C40" s="284"/>
      <c r="D40" s="285"/>
      <c r="E40" s="128"/>
      <c r="F40" s="283"/>
      <c r="G40" s="284"/>
      <c r="H40" s="284"/>
      <c r="I40" s="285"/>
      <c r="J40" s="128"/>
      <c r="K40" s="128"/>
      <c r="L40" s="4"/>
      <c r="M40" s="12">
        <v>420</v>
      </c>
      <c r="N40" s="13"/>
      <c r="O40" s="9"/>
      <c r="P40" s="10">
        <f>N38*0.05*M40</f>
        <v>3.6749999999999998</v>
      </c>
    </row>
    <row r="41" spans="1:16" ht="15.75" x14ac:dyDescent="0.25">
      <c r="A41" s="283" t="s">
        <v>288</v>
      </c>
      <c r="B41" s="284"/>
      <c r="C41" s="284"/>
      <c r="D41" s="285"/>
      <c r="E41" s="128"/>
      <c r="F41" s="283"/>
      <c r="G41" s="284"/>
      <c r="H41" s="284"/>
      <c r="I41" s="285"/>
      <c r="J41" s="128"/>
      <c r="K41" s="128"/>
      <c r="L41" s="4"/>
      <c r="M41" s="12">
        <v>420</v>
      </c>
      <c r="N41" s="13"/>
      <c r="O41" s="9"/>
      <c r="P41" s="10">
        <f>N39*0.05*M41</f>
        <v>2</v>
      </c>
    </row>
    <row r="42" spans="1:16" ht="15.75" x14ac:dyDescent="0.25">
      <c r="A42" s="128"/>
      <c r="B42" s="283" t="s">
        <v>35</v>
      </c>
      <c r="C42" s="284"/>
      <c r="D42" s="284"/>
      <c r="E42" s="284"/>
      <c r="F42" s="284"/>
      <c r="G42" s="285"/>
      <c r="H42" s="128">
        <f>SUM(H38:H39)</f>
        <v>200</v>
      </c>
      <c r="I42" s="283"/>
      <c r="J42" s="284"/>
      <c r="K42" s="284"/>
      <c r="L42" s="284"/>
      <c r="M42" s="284"/>
      <c r="N42" s="284"/>
      <c r="O42" s="285"/>
      <c r="P42" s="10">
        <f>SUM(P38:P41)</f>
        <v>341.33333333333331</v>
      </c>
    </row>
    <row r="45" spans="1:16" x14ac:dyDescent="0.25">
      <c r="A45" s="377" t="s">
        <v>285</v>
      </c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</row>
    <row r="46" spans="1:16" ht="15.75" x14ac:dyDescent="0.25">
      <c r="A46" s="326" t="s">
        <v>0</v>
      </c>
      <c r="B46" s="326" t="s">
        <v>1</v>
      </c>
      <c r="C46" s="326" t="s">
        <v>2</v>
      </c>
      <c r="D46" s="326" t="s">
        <v>3</v>
      </c>
      <c r="E46" s="326" t="s">
        <v>4</v>
      </c>
      <c r="F46" s="326" t="s">
        <v>5</v>
      </c>
      <c r="G46" s="329" t="s">
        <v>6</v>
      </c>
      <c r="H46" s="330"/>
      <c r="I46" s="368" t="s">
        <v>289</v>
      </c>
      <c r="J46" s="369"/>
      <c r="K46" s="370"/>
      <c r="L46" s="326" t="s">
        <v>8</v>
      </c>
      <c r="M46" s="332" t="s">
        <v>9</v>
      </c>
      <c r="N46" s="332" t="s">
        <v>10</v>
      </c>
      <c r="O46" s="332" t="s">
        <v>10</v>
      </c>
      <c r="P46" s="319" t="s">
        <v>12</v>
      </c>
    </row>
    <row r="47" spans="1:16" ht="15" customHeight="1" x14ac:dyDescent="0.25">
      <c r="A47" s="327"/>
      <c r="B47" s="327"/>
      <c r="C47" s="327"/>
      <c r="D47" s="327"/>
      <c r="E47" s="327"/>
      <c r="F47" s="327"/>
      <c r="G47" s="326" t="s">
        <v>13</v>
      </c>
      <c r="H47" s="326" t="s">
        <v>14</v>
      </c>
      <c r="I47" s="371"/>
      <c r="J47" s="372"/>
      <c r="K47" s="373"/>
      <c r="L47" s="327"/>
      <c r="M47" s="333"/>
      <c r="N47" s="333"/>
      <c r="O47" s="333"/>
      <c r="P47" s="320"/>
    </row>
    <row r="48" spans="1:16" ht="15" customHeight="1" x14ac:dyDescent="0.25">
      <c r="A48" s="328"/>
      <c r="B48" s="328"/>
      <c r="C48" s="328"/>
      <c r="D48" s="328"/>
      <c r="E48" s="328"/>
      <c r="F48" s="328"/>
      <c r="G48" s="328"/>
      <c r="H48" s="328"/>
      <c r="I48" s="374"/>
      <c r="J48" s="375"/>
      <c r="K48" s="376"/>
      <c r="L48" s="328"/>
      <c r="M48" s="334"/>
      <c r="N48" s="334"/>
      <c r="O48" s="334"/>
      <c r="P48" s="321"/>
    </row>
    <row r="49" spans="1:16" ht="63" x14ac:dyDescent="0.25">
      <c r="A49" s="128" t="s">
        <v>18</v>
      </c>
      <c r="B49" s="128" t="s">
        <v>19</v>
      </c>
      <c r="C49" s="128"/>
      <c r="D49" s="128" t="s">
        <v>20</v>
      </c>
      <c r="E49" s="128" t="s">
        <v>21</v>
      </c>
      <c r="F49" s="128" t="s">
        <v>22</v>
      </c>
      <c r="G49" s="128" t="s">
        <v>23</v>
      </c>
      <c r="H49" s="128" t="s">
        <v>23</v>
      </c>
      <c r="I49" s="128" t="s">
        <v>24</v>
      </c>
      <c r="J49" s="128" t="s">
        <v>22</v>
      </c>
      <c r="K49" s="128" t="s">
        <v>24</v>
      </c>
      <c r="L49" s="128" t="s">
        <v>25</v>
      </c>
      <c r="M49" s="127" t="s">
        <v>25</v>
      </c>
      <c r="N49" s="127" t="s">
        <v>26</v>
      </c>
      <c r="O49" s="127" t="s">
        <v>27</v>
      </c>
      <c r="P49" s="128" t="s">
        <v>28</v>
      </c>
    </row>
    <row r="50" spans="1:16" ht="15.75" x14ac:dyDescent="0.25">
      <c r="A50" s="128">
        <v>1</v>
      </c>
      <c r="B50" s="4" t="s">
        <v>286</v>
      </c>
      <c r="C50" s="4" t="s">
        <v>29</v>
      </c>
      <c r="D50" s="128" t="s">
        <v>30</v>
      </c>
      <c r="E50" s="128">
        <v>1.5</v>
      </c>
      <c r="F50" s="128">
        <v>80</v>
      </c>
      <c r="G50" s="5">
        <f>H50*100/F50</f>
        <v>175</v>
      </c>
      <c r="H50" s="128">
        <v>140</v>
      </c>
      <c r="I50" s="6">
        <f>1/(H50/(10*F50))</f>
        <v>5.7142857142857144</v>
      </c>
      <c r="J50" s="128">
        <v>30</v>
      </c>
      <c r="K50" s="6">
        <f>I50-(I50/100*J50)</f>
        <v>4</v>
      </c>
      <c r="L50" s="7">
        <v>786</v>
      </c>
      <c r="M50" s="8">
        <f>L50*E50</f>
        <v>1179</v>
      </c>
      <c r="N50" s="9">
        <f>A50/K50</f>
        <v>0.25</v>
      </c>
      <c r="O50" s="8">
        <f>E50*N50</f>
        <v>0.375</v>
      </c>
      <c r="P50" s="10">
        <f>O50*L50</f>
        <v>294.75</v>
      </c>
    </row>
    <row r="51" spans="1:16" ht="15.75" x14ac:dyDescent="0.25">
      <c r="A51" s="128">
        <v>1</v>
      </c>
      <c r="B51" s="4" t="s">
        <v>287</v>
      </c>
      <c r="C51" s="4" t="s">
        <v>32</v>
      </c>
      <c r="D51" s="11">
        <v>7036</v>
      </c>
      <c r="E51" s="128">
        <v>1.4</v>
      </c>
      <c r="F51" s="128">
        <v>63</v>
      </c>
      <c r="G51" s="5">
        <f>H51*100/F51</f>
        <v>95.238095238095241</v>
      </c>
      <c r="H51" s="128">
        <v>60</v>
      </c>
      <c r="I51" s="6">
        <f>1/(H51/(10*F51))</f>
        <v>10.5</v>
      </c>
      <c r="J51" s="128">
        <v>30</v>
      </c>
      <c r="K51" s="6">
        <f>I51-(I51/100*J51)</f>
        <v>7.35</v>
      </c>
      <c r="L51" s="7">
        <f>1358/1.4</f>
        <v>970.00000000000011</v>
      </c>
      <c r="M51" s="8">
        <f>L51*E51</f>
        <v>1358</v>
      </c>
      <c r="N51" s="9">
        <f>A51/K51</f>
        <v>0.1360544217687075</v>
      </c>
      <c r="O51" s="9">
        <f>E51*N51</f>
        <v>0.19047619047619049</v>
      </c>
      <c r="P51" s="10">
        <f>O51*L51</f>
        <v>184.76190476190479</v>
      </c>
    </row>
    <row r="52" spans="1:16" ht="15.75" x14ac:dyDescent="0.25">
      <c r="A52" s="283" t="s">
        <v>288</v>
      </c>
      <c r="B52" s="284"/>
      <c r="C52" s="284"/>
      <c r="D52" s="285"/>
      <c r="E52" s="128"/>
      <c r="F52" s="283"/>
      <c r="G52" s="284"/>
      <c r="H52" s="284"/>
      <c r="I52" s="285"/>
      <c r="J52" s="128"/>
      <c r="K52" s="128"/>
      <c r="L52" s="4"/>
      <c r="M52" s="12">
        <v>420</v>
      </c>
      <c r="N52" s="13"/>
      <c r="O52" s="9"/>
      <c r="P52" s="10">
        <f>N50*0.05*M52</f>
        <v>5.25</v>
      </c>
    </row>
    <row r="53" spans="1:16" ht="15.75" x14ac:dyDescent="0.25">
      <c r="A53" s="283" t="s">
        <v>288</v>
      </c>
      <c r="B53" s="284"/>
      <c r="C53" s="284"/>
      <c r="D53" s="285"/>
      <c r="E53" s="128"/>
      <c r="F53" s="283"/>
      <c r="G53" s="284"/>
      <c r="H53" s="284"/>
      <c r="I53" s="285"/>
      <c r="J53" s="128"/>
      <c r="K53" s="128"/>
      <c r="L53" s="4"/>
      <c r="M53" s="12">
        <v>420</v>
      </c>
      <c r="N53" s="13"/>
      <c r="O53" s="9"/>
      <c r="P53" s="10">
        <f>N51*0.05*M53</f>
        <v>2.8571428571428572</v>
      </c>
    </row>
    <row r="54" spans="1:16" ht="15.75" x14ac:dyDescent="0.25">
      <c r="A54" s="128"/>
      <c r="B54" s="283" t="s">
        <v>35</v>
      </c>
      <c r="C54" s="284"/>
      <c r="D54" s="284"/>
      <c r="E54" s="284"/>
      <c r="F54" s="284"/>
      <c r="G54" s="285"/>
      <c r="H54" s="128">
        <f>SUM(H50:H51)</f>
        <v>200</v>
      </c>
      <c r="I54" s="283"/>
      <c r="J54" s="284"/>
      <c r="K54" s="284"/>
      <c r="L54" s="284"/>
      <c r="M54" s="284"/>
      <c r="N54" s="284"/>
      <c r="O54" s="285"/>
      <c r="P54" s="10">
        <f>SUM(P50:P53)</f>
        <v>487.61904761904765</v>
      </c>
    </row>
  </sheetData>
  <mergeCells count="88">
    <mergeCell ref="A10:A12"/>
    <mergeCell ref="B10:B12"/>
    <mergeCell ref="C10:C12"/>
    <mergeCell ref="D10:D12"/>
    <mergeCell ref="E10:E12"/>
    <mergeCell ref="B18:G18"/>
    <mergeCell ref="I18:O18"/>
    <mergeCell ref="P10:P12"/>
    <mergeCell ref="G11:G12"/>
    <mergeCell ref="H11:H12"/>
    <mergeCell ref="I10:K12"/>
    <mergeCell ref="G10:H10"/>
    <mergeCell ref="L10:L12"/>
    <mergeCell ref="M10:M12"/>
    <mergeCell ref="N10:N12"/>
    <mergeCell ref="O10:O12"/>
    <mergeCell ref="F10:F12"/>
    <mergeCell ref="P22:P24"/>
    <mergeCell ref="G23:G24"/>
    <mergeCell ref="H23:H24"/>
    <mergeCell ref="A9:P9"/>
    <mergeCell ref="A21:P21"/>
    <mergeCell ref="A22:A24"/>
    <mergeCell ref="B22:B24"/>
    <mergeCell ref="C22:C24"/>
    <mergeCell ref="D22:D24"/>
    <mergeCell ref="E22:E24"/>
    <mergeCell ref="F22:F24"/>
    <mergeCell ref="G22:H22"/>
    <mergeCell ref="A16:D16"/>
    <mergeCell ref="F16:I16"/>
    <mergeCell ref="A17:D17"/>
    <mergeCell ref="F17:I17"/>
    <mergeCell ref="A29:D29"/>
    <mergeCell ref="F29:I29"/>
    <mergeCell ref="B30:G30"/>
    <mergeCell ref="I30:O30"/>
    <mergeCell ref="L22:L24"/>
    <mergeCell ref="M22:M24"/>
    <mergeCell ref="N22:N24"/>
    <mergeCell ref="O22:O24"/>
    <mergeCell ref="I22:K24"/>
    <mergeCell ref="A28:D28"/>
    <mergeCell ref="F28:I28"/>
    <mergeCell ref="P34:P36"/>
    <mergeCell ref="G35:G36"/>
    <mergeCell ref="H35:H36"/>
    <mergeCell ref="I34:K36"/>
    <mergeCell ref="A33:P33"/>
    <mergeCell ref="A34:A36"/>
    <mergeCell ref="B34:B36"/>
    <mergeCell ref="C34:C36"/>
    <mergeCell ref="D34:D36"/>
    <mergeCell ref="E34:E36"/>
    <mergeCell ref="F34:F36"/>
    <mergeCell ref="G34:H34"/>
    <mergeCell ref="L34:L36"/>
    <mergeCell ref="M34:M36"/>
    <mergeCell ref="N34:N36"/>
    <mergeCell ref="O34:O36"/>
    <mergeCell ref="P46:P48"/>
    <mergeCell ref="G47:G48"/>
    <mergeCell ref="H47:H48"/>
    <mergeCell ref="I46:K48"/>
    <mergeCell ref="A45:P45"/>
    <mergeCell ref="A46:A48"/>
    <mergeCell ref="B46:B48"/>
    <mergeCell ref="C46:C48"/>
    <mergeCell ref="D46:D48"/>
    <mergeCell ref="E46:E48"/>
    <mergeCell ref="F46:F48"/>
    <mergeCell ref="G46:H46"/>
    <mergeCell ref="L46:L48"/>
    <mergeCell ref="B54:G54"/>
    <mergeCell ref="I54:O54"/>
    <mergeCell ref="M46:M48"/>
    <mergeCell ref="N46:N48"/>
    <mergeCell ref="O46:O48"/>
    <mergeCell ref="A52:D52"/>
    <mergeCell ref="F52:I52"/>
    <mergeCell ref="A53:D53"/>
    <mergeCell ref="F53:I53"/>
    <mergeCell ref="A40:D40"/>
    <mergeCell ref="F40:I40"/>
    <mergeCell ref="A41:D41"/>
    <mergeCell ref="F41:I41"/>
    <mergeCell ref="B42:G42"/>
    <mergeCell ref="I42:O42"/>
  </mergeCells>
  <pageMargins left="0.7" right="0.7" top="0.75" bottom="0.75" header="0.3" footer="0.3"/>
  <pageSetup paperSize="9" scale="5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23"/>
  <sheetViews>
    <sheetView zoomScale="55" zoomScaleNormal="55" workbookViewId="0">
      <selection activeCell="F80" sqref="F80"/>
    </sheetView>
  </sheetViews>
  <sheetFormatPr defaultRowHeight="15" x14ac:dyDescent="0.25"/>
  <cols>
    <col min="1" max="1" width="12" customWidth="1"/>
    <col min="2" max="2" width="24.42578125" customWidth="1"/>
    <col min="3" max="3" width="17.28515625" customWidth="1"/>
    <col min="4" max="4" width="10.85546875" customWidth="1"/>
    <col min="5" max="5" width="13.28515625" customWidth="1"/>
    <col min="6" max="6" width="11.5703125" customWidth="1"/>
    <col min="7" max="7" width="11.85546875" customWidth="1"/>
    <col min="8" max="8" width="13.42578125" customWidth="1"/>
    <col min="9" max="9" width="15.42578125" customWidth="1"/>
    <col min="10" max="10" width="13.42578125" customWidth="1"/>
    <col min="11" max="11" width="9.140625" customWidth="1"/>
    <col min="12" max="12" width="12.85546875" hidden="1" customWidth="1"/>
    <col min="13" max="13" width="15.140625" hidden="1" customWidth="1"/>
    <col min="14" max="14" width="20.28515625" customWidth="1"/>
    <col min="15" max="15" width="20" customWidth="1"/>
    <col min="16" max="16" width="15" hidden="1" customWidth="1"/>
  </cols>
  <sheetData>
    <row r="1" spans="1:16" x14ac:dyDescent="0.25">
      <c r="A1" s="391"/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</row>
    <row r="2" spans="1:16" ht="100.5" customHeight="1" x14ac:dyDescent="0.25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</row>
    <row r="3" spans="1:16" ht="18.75" customHeight="1" x14ac:dyDescent="0.25">
      <c r="A3" s="392" t="s">
        <v>135</v>
      </c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1:16" s="1" customFormat="1" ht="15.75" customHeight="1" x14ac:dyDescent="0.25">
      <c r="A4" s="326" t="s">
        <v>0</v>
      </c>
      <c r="B4" s="326" t="s">
        <v>1</v>
      </c>
      <c r="C4" s="326" t="s">
        <v>2</v>
      </c>
      <c r="D4" s="326" t="s">
        <v>3</v>
      </c>
      <c r="E4" s="326" t="s">
        <v>4</v>
      </c>
      <c r="F4" s="326" t="s">
        <v>5</v>
      </c>
      <c r="G4" s="329" t="s">
        <v>6</v>
      </c>
      <c r="H4" s="330"/>
      <c r="I4" s="329" t="s">
        <v>7</v>
      </c>
      <c r="J4" s="331"/>
      <c r="K4" s="330"/>
      <c r="L4" s="326" t="s">
        <v>8</v>
      </c>
      <c r="M4" s="332" t="s">
        <v>9</v>
      </c>
      <c r="N4" s="332" t="s">
        <v>10</v>
      </c>
      <c r="O4" s="332" t="s">
        <v>10</v>
      </c>
      <c r="P4" s="319" t="s">
        <v>12</v>
      </c>
    </row>
    <row r="5" spans="1:16" s="1" customFormat="1" ht="15.75" x14ac:dyDescent="0.25">
      <c r="A5" s="327"/>
      <c r="B5" s="327"/>
      <c r="C5" s="327"/>
      <c r="D5" s="327"/>
      <c r="E5" s="327"/>
      <c r="F5" s="327"/>
      <c r="G5" s="326" t="s">
        <v>13</v>
      </c>
      <c r="H5" s="326" t="s">
        <v>14</v>
      </c>
      <c r="I5" s="326" t="s">
        <v>15</v>
      </c>
      <c r="J5" s="326" t="s">
        <v>16</v>
      </c>
      <c r="K5" s="326" t="s">
        <v>17</v>
      </c>
      <c r="L5" s="327"/>
      <c r="M5" s="333"/>
      <c r="N5" s="333"/>
      <c r="O5" s="333"/>
      <c r="P5" s="320"/>
    </row>
    <row r="6" spans="1:16" s="1" customFormat="1" ht="72.75" customHeight="1" x14ac:dyDescent="0.25">
      <c r="A6" s="328"/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34"/>
      <c r="N6" s="334"/>
      <c r="O6" s="334"/>
      <c r="P6" s="321"/>
    </row>
    <row r="7" spans="1:16" s="1" customFormat="1" ht="28.5" customHeight="1" x14ac:dyDescent="0.25">
      <c r="A7" s="2" t="s">
        <v>18</v>
      </c>
      <c r="B7" s="2" t="s">
        <v>19</v>
      </c>
      <c r="C7" s="2"/>
      <c r="D7" s="2" t="s">
        <v>20</v>
      </c>
      <c r="E7" s="2" t="s">
        <v>21</v>
      </c>
      <c r="F7" s="2" t="s">
        <v>22</v>
      </c>
      <c r="G7" s="2" t="s">
        <v>23</v>
      </c>
      <c r="H7" s="2" t="s">
        <v>23</v>
      </c>
      <c r="I7" s="2" t="s">
        <v>24</v>
      </c>
      <c r="J7" s="2" t="s">
        <v>22</v>
      </c>
      <c r="K7" s="2" t="s">
        <v>24</v>
      </c>
      <c r="L7" s="2" t="s">
        <v>25</v>
      </c>
      <c r="M7" s="3" t="s">
        <v>25</v>
      </c>
      <c r="N7" s="3" t="s">
        <v>26</v>
      </c>
      <c r="O7" s="3" t="s">
        <v>27</v>
      </c>
      <c r="P7" s="2" t="s">
        <v>28</v>
      </c>
    </row>
    <row r="8" spans="1:16" s="1" customFormat="1" ht="25.5" customHeight="1" x14ac:dyDescent="0.25">
      <c r="A8" s="2">
        <v>1</v>
      </c>
      <c r="B8" s="4" t="s">
        <v>65</v>
      </c>
      <c r="C8" s="4" t="s">
        <v>29</v>
      </c>
      <c r="D8" s="2" t="s">
        <v>30</v>
      </c>
      <c r="E8" s="2">
        <v>1.5</v>
      </c>
      <c r="F8" s="2">
        <v>74</v>
      </c>
      <c r="G8" s="5">
        <f>H8*100/F8</f>
        <v>162.16216216216216</v>
      </c>
      <c r="H8" s="2">
        <v>120</v>
      </c>
      <c r="I8" s="6">
        <f>1/(H8/(10*F8))</f>
        <v>6.1666666666666661</v>
      </c>
      <c r="J8" s="2">
        <v>0</v>
      </c>
      <c r="K8" s="6">
        <f>I8-(I8/100*J8)</f>
        <v>6.1666666666666661</v>
      </c>
      <c r="L8" s="7">
        <f>540.98*1.22</f>
        <v>659.99559999999997</v>
      </c>
      <c r="M8" s="8">
        <f>L8*E8</f>
        <v>989.99339999999995</v>
      </c>
      <c r="N8" s="9">
        <f>A8/K8</f>
        <v>0.16216216216216217</v>
      </c>
      <c r="O8" s="8">
        <f>E8*N8</f>
        <v>0.24324324324324326</v>
      </c>
      <c r="P8" s="10">
        <f>O8*L8</f>
        <v>160.53947027027027</v>
      </c>
    </row>
    <row r="9" spans="1:16" s="1" customFormat="1" ht="38.25" customHeight="1" x14ac:dyDescent="0.25">
      <c r="A9" s="2">
        <v>1</v>
      </c>
      <c r="B9" s="4" t="s">
        <v>387</v>
      </c>
      <c r="C9" s="4" t="s">
        <v>32</v>
      </c>
      <c r="D9" s="11">
        <v>9003</v>
      </c>
      <c r="E9" s="2">
        <v>1.35</v>
      </c>
      <c r="F9" s="2">
        <v>58</v>
      </c>
      <c r="G9" s="5">
        <f>H9*100/F9</f>
        <v>103.44827586206897</v>
      </c>
      <c r="H9" s="2">
        <v>60</v>
      </c>
      <c r="I9" s="6">
        <f>1/(H9/(10*F9))</f>
        <v>9.6666666666666661</v>
      </c>
      <c r="J9" s="2">
        <v>0</v>
      </c>
      <c r="K9" s="6">
        <f>I9-(I9/100*J9)</f>
        <v>9.6666666666666661</v>
      </c>
      <c r="L9" s="7">
        <f>850.63*1.22</f>
        <v>1037.7685999999999</v>
      </c>
      <c r="M9" s="8">
        <f>L9*E9</f>
        <v>1400.9876099999999</v>
      </c>
      <c r="N9" s="9">
        <f>A9/K9</f>
        <v>0.10344827586206898</v>
      </c>
      <c r="O9" s="9">
        <f>E9*N9</f>
        <v>0.13965517241379313</v>
      </c>
      <c r="P9" s="10">
        <f>O9*L9</f>
        <v>144.92975275862071</v>
      </c>
    </row>
    <row r="10" spans="1:16" s="1" customFormat="1" ht="24" customHeight="1" x14ac:dyDescent="0.25">
      <c r="A10" s="2"/>
      <c r="B10" s="283" t="s">
        <v>35</v>
      </c>
      <c r="C10" s="284"/>
      <c r="D10" s="284"/>
      <c r="E10" s="284"/>
      <c r="F10" s="284"/>
      <c r="G10" s="285"/>
      <c r="H10" s="2">
        <f>SUM(H8:H9)</f>
        <v>180</v>
      </c>
      <c r="I10" s="283"/>
      <c r="J10" s="284"/>
      <c r="K10" s="284"/>
      <c r="L10" s="284"/>
      <c r="M10" s="284"/>
      <c r="N10" s="284"/>
      <c r="O10" s="285"/>
      <c r="P10" s="10">
        <f>SUM(P8:P9)</f>
        <v>305.46922302889095</v>
      </c>
    </row>
    <row r="11" spans="1:16" ht="15.75" x14ac:dyDescent="0.25">
      <c r="A11" s="326" t="s">
        <v>0</v>
      </c>
      <c r="B11" s="326" t="s">
        <v>1</v>
      </c>
      <c r="C11" s="326" t="s">
        <v>2</v>
      </c>
      <c r="D11" s="326" t="s">
        <v>3</v>
      </c>
      <c r="E11" s="326" t="s">
        <v>4</v>
      </c>
      <c r="F11" s="326" t="s">
        <v>5</v>
      </c>
      <c r="G11" s="329" t="s">
        <v>6</v>
      </c>
      <c r="H11" s="330"/>
      <c r="I11" s="329" t="s">
        <v>7</v>
      </c>
      <c r="J11" s="331"/>
      <c r="K11" s="330"/>
      <c r="L11" s="326" t="s">
        <v>8</v>
      </c>
      <c r="M11" s="332" t="s">
        <v>9</v>
      </c>
      <c r="N11" s="332" t="s">
        <v>10</v>
      </c>
      <c r="O11" s="332" t="s">
        <v>10</v>
      </c>
      <c r="P11" s="319" t="s">
        <v>12</v>
      </c>
    </row>
    <row r="12" spans="1:16" x14ac:dyDescent="0.25">
      <c r="A12" s="327"/>
      <c r="B12" s="327"/>
      <c r="C12" s="327"/>
      <c r="D12" s="327"/>
      <c r="E12" s="327"/>
      <c r="F12" s="327"/>
      <c r="G12" s="326" t="s">
        <v>13</v>
      </c>
      <c r="H12" s="326" t="s">
        <v>14</v>
      </c>
      <c r="I12" s="326" t="s">
        <v>15</v>
      </c>
      <c r="J12" s="326" t="s">
        <v>16</v>
      </c>
      <c r="K12" s="326" t="s">
        <v>17</v>
      </c>
      <c r="L12" s="327"/>
      <c r="M12" s="333"/>
      <c r="N12" s="333"/>
      <c r="O12" s="333"/>
      <c r="P12" s="320"/>
    </row>
    <row r="13" spans="1:16" x14ac:dyDescent="0.25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34"/>
      <c r="N13" s="334"/>
      <c r="O13" s="334"/>
      <c r="P13" s="321"/>
    </row>
    <row r="14" spans="1:16" ht="15.75" x14ac:dyDescent="0.25">
      <c r="A14" s="211" t="s">
        <v>18</v>
      </c>
      <c r="B14" s="211" t="s">
        <v>19</v>
      </c>
      <c r="C14" s="211"/>
      <c r="D14" s="211" t="s">
        <v>20</v>
      </c>
      <c r="E14" s="211" t="s">
        <v>21</v>
      </c>
      <c r="F14" s="211" t="s">
        <v>22</v>
      </c>
      <c r="G14" s="211" t="s">
        <v>23</v>
      </c>
      <c r="H14" s="211" t="s">
        <v>23</v>
      </c>
      <c r="I14" s="211" t="s">
        <v>24</v>
      </c>
      <c r="J14" s="211" t="s">
        <v>22</v>
      </c>
      <c r="K14" s="211" t="s">
        <v>24</v>
      </c>
      <c r="L14" s="211" t="s">
        <v>25</v>
      </c>
      <c r="M14" s="210" t="s">
        <v>25</v>
      </c>
      <c r="N14" s="210" t="s">
        <v>26</v>
      </c>
      <c r="O14" s="210" t="s">
        <v>27</v>
      </c>
      <c r="P14" s="211" t="s">
        <v>28</v>
      </c>
    </row>
    <row r="15" spans="1:16" ht="31.5" x14ac:dyDescent="0.25">
      <c r="A15" s="211">
        <v>1</v>
      </c>
      <c r="B15" s="4" t="s">
        <v>181</v>
      </c>
      <c r="C15" s="4" t="s">
        <v>29</v>
      </c>
      <c r="D15" s="211" t="s">
        <v>30</v>
      </c>
      <c r="E15" s="211">
        <v>1.4</v>
      </c>
      <c r="F15" s="211">
        <v>72</v>
      </c>
      <c r="G15" s="5">
        <f>H15*100/F15</f>
        <v>152.77777777777777</v>
      </c>
      <c r="H15" s="211">
        <v>110</v>
      </c>
      <c r="I15" s="6">
        <f>1/(H15/(10*F15))</f>
        <v>6.545454545454545</v>
      </c>
      <c r="J15" s="211">
        <v>0</v>
      </c>
      <c r="K15" s="6">
        <f>I15-(I15/100*J15)</f>
        <v>6.545454545454545</v>
      </c>
      <c r="L15" s="7">
        <f>682.08*1.22</f>
        <v>832.13760000000002</v>
      </c>
      <c r="M15" s="8">
        <v>1108</v>
      </c>
      <c r="N15" s="9">
        <f>A15/K15</f>
        <v>0.15277777777777779</v>
      </c>
      <c r="O15" s="8">
        <f>E15*N15</f>
        <v>0.21388888888888891</v>
      </c>
      <c r="P15" s="10">
        <f>N15*M15</f>
        <v>169.2777777777778</v>
      </c>
    </row>
    <row r="16" spans="1:16" ht="31.5" x14ac:dyDescent="0.25">
      <c r="A16" s="211">
        <v>1</v>
      </c>
      <c r="B16" s="4" t="s">
        <v>181</v>
      </c>
      <c r="C16" s="4" t="s">
        <v>29</v>
      </c>
      <c r="D16" s="211" t="s">
        <v>30</v>
      </c>
      <c r="E16" s="211">
        <v>1.4</v>
      </c>
      <c r="F16" s="211">
        <v>72</v>
      </c>
      <c r="G16" s="5">
        <f>H16*100/F16</f>
        <v>152.77777777777777</v>
      </c>
      <c r="H16" s="211">
        <v>110</v>
      </c>
      <c r="I16" s="6">
        <f>1/(H16/(10*F16))</f>
        <v>6.545454545454545</v>
      </c>
      <c r="J16" s="211">
        <v>0</v>
      </c>
      <c r="K16" s="6">
        <f>I16-(I16/100*J16)</f>
        <v>6.545454545454545</v>
      </c>
      <c r="L16" s="7">
        <f>682.08*1.22</f>
        <v>832.13760000000002</v>
      </c>
      <c r="M16" s="8">
        <v>1108</v>
      </c>
      <c r="N16" s="9">
        <f>A16/K16</f>
        <v>0.15277777777777779</v>
      </c>
      <c r="O16" s="8">
        <f>E16*N16</f>
        <v>0.21388888888888891</v>
      </c>
      <c r="P16" s="10">
        <f>N16*M16</f>
        <v>169.2777777777778</v>
      </c>
    </row>
    <row r="17" spans="1:16" ht="15.75" hidden="1" x14ac:dyDescent="0.25">
      <c r="A17" s="283" t="s">
        <v>33</v>
      </c>
      <c r="B17" s="284"/>
      <c r="C17" s="284"/>
      <c r="D17" s="285"/>
      <c r="E17" s="211">
        <v>0.9</v>
      </c>
      <c r="F17" s="283">
        <v>5</v>
      </c>
      <c r="G17" s="284"/>
      <c r="H17" s="284"/>
      <c r="I17" s="285"/>
      <c r="J17" s="211"/>
      <c r="K17" s="211"/>
      <c r="L17" s="4">
        <v>0</v>
      </c>
      <c r="M17" s="12">
        <v>0</v>
      </c>
      <c r="N17" s="13">
        <f>N16*(F17/100)</f>
        <v>7.6388888888888895E-3</v>
      </c>
      <c r="O17" s="9">
        <f>E17*N17</f>
        <v>6.8750000000000009E-3</v>
      </c>
      <c r="P17" s="10">
        <f>N17*L17</f>
        <v>0</v>
      </c>
    </row>
    <row r="18" spans="1:16" ht="15.75" x14ac:dyDescent="0.25">
      <c r="A18" s="211"/>
      <c r="B18" s="283" t="s">
        <v>35</v>
      </c>
      <c r="C18" s="284"/>
      <c r="D18" s="284"/>
      <c r="E18" s="284"/>
      <c r="F18" s="284"/>
      <c r="G18" s="285"/>
      <c r="H18" s="211">
        <f>SUM(H15:H16)</f>
        <v>220</v>
      </c>
      <c r="I18" s="283"/>
      <c r="J18" s="284"/>
      <c r="K18" s="284"/>
      <c r="L18" s="284"/>
      <c r="M18" s="284"/>
      <c r="N18" s="284"/>
      <c r="O18" s="285"/>
      <c r="P18" s="10">
        <f>SUM(P15:P17)</f>
        <v>338.5555555555556</v>
      </c>
    </row>
    <row r="19" spans="1:16" s="1" customFormat="1" ht="25.5" customHeight="1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</row>
    <row r="20" spans="1:16" ht="18.75" customHeight="1" x14ac:dyDescent="0.25">
      <c r="A20" s="325" t="s">
        <v>155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</row>
    <row r="21" spans="1:16" s="1" customFormat="1" ht="15.75" customHeight="1" x14ac:dyDescent="0.25">
      <c r="A21" s="326" t="s">
        <v>0</v>
      </c>
      <c r="B21" s="326" t="s">
        <v>1</v>
      </c>
      <c r="C21" s="326" t="s">
        <v>2</v>
      </c>
      <c r="D21" s="326" t="s">
        <v>3</v>
      </c>
      <c r="E21" s="326" t="s">
        <v>4</v>
      </c>
      <c r="F21" s="326" t="s">
        <v>5</v>
      </c>
      <c r="G21" s="329" t="s">
        <v>6</v>
      </c>
      <c r="H21" s="330"/>
      <c r="I21" s="329" t="s">
        <v>7</v>
      </c>
      <c r="J21" s="331"/>
      <c r="K21" s="330"/>
      <c r="L21" s="326" t="s">
        <v>8</v>
      </c>
      <c r="M21" s="332" t="s">
        <v>9</v>
      </c>
      <c r="N21" s="332" t="s">
        <v>156</v>
      </c>
      <c r="O21" s="332" t="s">
        <v>156</v>
      </c>
      <c r="P21" s="319" t="s">
        <v>12</v>
      </c>
    </row>
    <row r="22" spans="1:16" s="1" customFormat="1" ht="15.75" x14ac:dyDescent="0.25">
      <c r="A22" s="327"/>
      <c r="B22" s="327"/>
      <c r="C22" s="327"/>
      <c r="D22" s="327"/>
      <c r="E22" s="327"/>
      <c r="F22" s="327"/>
      <c r="G22" s="326" t="s">
        <v>13</v>
      </c>
      <c r="H22" s="326" t="s">
        <v>14</v>
      </c>
      <c r="I22" s="326" t="s">
        <v>15</v>
      </c>
      <c r="J22" s="326" t="s">
        <v>16</v>
      </c>
      <c r="K22" s="326" t="s">
        <v>17</v>
      </c>
      <c r="L22" s="327"/>
      <c r="M22" s="333"/>
      <c r="N22" s="333"/>
      <c r="O22" s="333"/>
      <c r="P22" s="320"/>
    </row>
    <row r="23" spans="1:16" s="1" customFormat="1" ht="66" customHeight="1" x14ac:dyDescent="0.25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34"/>
      <c r="N23" s="334"/>
      <c r="O23" s="334"/>
      <c r="P23" s="321"/>
    </row>
    <row r="24" spans="1:16" s="1" customFormat="1" ht="28.5" customHeight="1" x14ac:dyDescent="0.25">
      <c r="A24" s="2" t="s">
        <v>18</v>
      </c>
      <c r="B24" s="2" t="s">
        <v>19</v>
      </c>
      <c r="C24" s="2"/>
      <c r="D24" s="2" t="s">
        <v>20</v>
      </c>
      <c r="E24" s="2" t="s">
        <v>21</v>
      </c>
      <c r="F24" s="2" t="s">
        <v>22</v>
      </c>
      <c r="G24" s="2" t="s">
        <v>23</v>
      </c>
      <c r="H24" s="2" t="s">
        <v>23</v>
      </c>
      <c r="I24" s="2" t="s">
        <v>24</v>
      </c>
      <c r="J24" s="2" t="s">
        <v>22</v>
      </c>
      <c r="K24" s="2" t="s">
        <v>24</v>
      </c>
      <c r="L24" s="2" t="s">
        <v>25</v>
      </c>
      <c r="M24" s="3" t="s">
        <v>25</v>
      </c>
      <c r="N24" s="3" t="s">
        <v>26</v>
      </c>
      <c r="O24" s="3" t="s">
        <v>27</v>
      </c>
      <c r="P24" s="2" t="s">
        <v>28</v>
      </c>
    </row>
    <row r="25" spans="1:16" s="1" customFormat="1" ht="25.5" customHeight="1" x14ac:dyDescent="0.25">
      <c r="A25" s="2">
        <v>1</v>
      </c>
      <c r="B25" s="4" t="s">
        <v>65</v>
      </c>
      <c r="C25" s="4" t="s">
        <v>29</v>
      </c>
      <c r="D25" s="2" t="s">
        <v>30</v>
      </c>
      <c r="E25" s="2">
        <v>1.6</v>
      </c>
      <c r="F25" s="2">
        <v>74</v>
      </c>
      <c r="G25" s="5">
        <f>H25*100/F25</f>
        <v>189.18918918918919</v>
      </c>
      <c r="H25" s="2">
        <v>140</v>
      </c>
      <c r="I25" s="6">
        <f>1/(H25/(10*F25))</f>
        <v>5.2857142857142856</v>
      </c>
      <c r="J25" s="2">
        <v>0</v>
      </c>
      <c r="K25" s="6">
        <f>I25-(I25/100*J25)</f>
        <v>5.2857142857142856</v>
      </c>
      <c r="L25" s="7">
        <f>M25/1.6</f>
        <v>540.625</v>
      </c>
      <c r="M25" s="8">
        <v>865</v>
      </c>
      <c r="N25" s="9">
        <f>A25/K25</f>
        <v>0.1891891891891892</v>
      </c>
      <c r="O25" s="8">
        <f>E25*N25</f>
        <v>0.30270270270270272</v>
      </c>
      <c r="P25" s="10">
        <f>N25*M25</f>
        <v>163.64864864864865</v>
      </c>
    </row>
    <row r="26" spans="1:16" s="1" customFormat="1" ht="38.25" customHeight="1" x14ac:dyDescent="0.25">
      <c r="A26" s="2">
        <v>1</v>
      </c>
      <c r="B26" s="4" t="s">
        <v>31</v>
      </c>
      <c r="C26" s="4" t="s">
        <v>32</v>
      </c>
      <c r="D26" s="11">
        <v>9003</v>
      </c>
      <c r="E26" s="2">
        <v>1.4</v>
      </c>
      <c r="F26" s="2">
        <v>63</v>
      </c>
      <c r="G26" s="5">
        <f>H26*100/F26</f>
        <v>95.238095238095241</v>
      </c>
      <c r="H26" s="2">
        <v>60</v>
      </c>
      <c r="I26" s="6">
        <f>1/(H26/(10*F26))</f>
        <v>10.5</v>
      </c>
      <c r="J26" s="2">
        <v>0</v>
      </c>
      <c r="K26" s="6">
        <f>I26-(I26/100*J26)</f>
        <v>10.5</v>
      </c>
      <c r="L26" s="7">
        <f>M26/1.4</f>
        <v>922.85714285714289</v>
      </c>
      <c r="M26" s="8">
        <v>1292</v>
      </c>
      <c r="N26" s="9">
        <f>A26/K26</f>
        <v>9.5238095238095233E-2</v>
      </c>
      <c r="O26" s="9">
        <f>E26*N26</f>
        <v>0.1333333333333333</v>
      </c>
      <c r="P26" s="10">
        <f>N26*M26</f>
        <v>123.04761904761904</v>
      </c>
    </row>
    <row r="27" spans="1:16" s="1" customFormat="1" ht="15.75" customHeight="1" x14ac:dyDescent="0.25">
      <c r="A27" s="283" t="s">
        <v>33</v>
      </c>
      <c r="B27" s="284"/>
      <c r="C27" s="284"/>
      <c r="D27" s="285"/>
      <c r="E27" s="2">
        <v>0.9</v>
      </c>
      <c r="F27" s="283">
        <v>5</v>
      </c>
      <c r="G27" s="284"/>
      <c r="H27" s="284"/>
      <c r="I27" s="285"/>
      <c r="J27" s="2"/>
      <c r="K27" s="2"/>
      <c r="L27" s="4"/>
      <c r="M27" s="12">
        <v>420</v>
      </c>
      <c r="N27" s="13">
        <f>N25*(F27/100)</f>
        <v>9.45945945945946E-3</v>
      </c>
      <c r="O27" s="9">
        <f>E27*N27</f>
        <v>8.513513513513515E-3</v>
      </c>
      <c r="P27" s="10">
        <f>N27*M27</f>
        <v>3.9729729729729732</v>
      </c>
    </row>
    <row r="28" spans="1:16" s="1" customFormat="1" ht="15.75" customHeight="1" x14ac:dyDescent="0.25">
      <c r="A28" s="283" t="s">
        <v>34</v>
      </c>
      <c r="B28" s="284"/>
      <c r="C28" s="284"/>
      <c r="D28" s="285"/>
      <c r="E28" s="2">
        <v>0.9</v>
      </c>
      <c r="F28" s="283">
        <v>5</v>
      </c>
      <c r="G28" s="284"/>
      <c r="H28" s="284"/>
      <c r="I28" s="285"/>
      <c r="J28" s="2"/>
      <c r="K28" s="2"/>
      <c r="L28" s="4"/>
      <c r="M28" s="12">
        <v>420</v>
      </c>
      <c r="N28" s="13">
        <f>N26*(F28/100)</f>
        <v>4.7619047619047623E-3</v>
      </c>
      <c r="O28" s="9">
        <f>E28*N28</f>
        <v>4.2857142857142859E-3</v>
      </c>
      <c r="P28" s="10">
        <f>N28*M28</f>
        <v>2</v>
      </c>
    </row>
    <row r="29" spans="1:16" s="1" customFormat="1" ht="22.5" customHeight="1" x14ac:dyDescent="0.25">
      <c r="A29" s="2"/>
      <c r="B29" s="283" t="s">
        <v>35</v>
      </c>
      <c r="C29" s="284"/>
      <c r="D29" s="284"/>
      <c r="E29" s="284"/>
      <c r="F29" s="284"/>
      <c r="G29" s="285"/>
      <c r="H29" s="2">
        <f>SUM(H25:H26)</f>
        <v>200</v>
      </c>
      <c r="I29" s="283"/>
      <c r="J29" s="284"/>
      <c r="K29" s="284"/>
      <c r="L29" s="284"/>
      <c r="M29" s="284"/>
      <c r="N29" s="284"/>
      <c r="O29" s="285"/>
      <c r="P29" s="10">
        <f>SUM(P25:P28)</f>
        <v>292.66924066924065</v>
      </c>
    </row>
    <row r="30" spans="1:16" ht="18.75" customHeight="1" x14ac:dyDescent="0.25">
      <c r="A30" s="325" t="s">
        <v>154</v>
      </c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</row>
    <row r="31" spans="1:16" s="1" customFormat="1" ht="15.75" customHeight="1" x14ac:dyDescent="0.25">
      <c r="A31" s="326" t="s">
        <v>0</v>
      </c>
      <c r="B31" s="326" t="s">
        <v>1</v>
      </c>
      <c r="C31" s="326" t="s">
        <v>2</v>
      </c>
      <c r="D31" s="326" t="s">
        <v>3</v>
      </c>
      <c r="E31" s="326" t="s">
        <v>4</v>
      </c>
      <c r="F31" s="326" t="s">
        <v>5</v>
      </c>
      <c r="G31" s="329" t="s">
        <v>6</v>
      </c>
      <c r="H31" s="330"/>
      <c r="I31" s="329" t="s">
        <v>7</v>
      </c>
      <c r="J31" s="331"/>
      <c r="K31" s="330"/>
      <c r="L31" s="326" t="s">
        <v>8</v>
      </c>
      <c r="M31" s="332" t="s">
        <v>9</v>
      </c>
      <c r="N31" s="332" t="s">
        <v>156</v>
      </c>
      <c r="O31" s="332" t="s">
        <v>156</v>
      </c>
      <c r="P31" s="319" t="s">
        <v>12</v>
      </c>
    </row>
    <row r="32" spans="1:16" s="1" customFormat="1" ht="15.75" x14ac:dyDescent="0.25">
      <c r="A32" s="327"/>
      <c r="B32" s="327"/>
      <c r="C32" s="327"/>
      <c r="D32" s="327"/>
      <c r="E32" s="327"/>
      <c r="F32" s="327"/>
      <c r="G32" s="326" t="s">
        <v>13</v>
      </c>
      <c r="H32" s="326" t="s">
        <v>14</v>
      </c>
      <c r="I32" s="326" t="s">
        <v>15</v>
      </c>
      <c r="J32" s="326" t="s">
        <v>16</v>
      </c>
      <c r="K32" s="326" t="s">
        <v>17</v>
      </c>
      <c r="L32" s="327"/>
      <c r="M32" s="333"/>
      <c r="N32" s="333"/>
      <c r="O32" s="333"/>
      <c r="P32" s="320"/>
    </row>
    <row r="33" spans="1:16" s="1" customFormat="1" ht="66" customHeight="1" x14ac:dyDescent="0.25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34"/>
      <c r="N33" s="334"/>
      <c r="O33" s="334"/>
      <c r="P33" s="321"/>
    </row>
    <row r="34" spans="1:16" s="1" customFormat="1" ht="28.5" customHeight="1" x14ac:dyDescent="0.25">
      <c r="A34" s="2" t="s">
        <v>18</v>
      </c>
      <c r="B34" s="2" t="s">
        <v>19</v>
      </c>
      <c r="C34" s="2"/>
      <c r="D34" s="2" t="s">
        <v>20</v>
      </c>
      <c r="E34" s="2" t="s">
        <v>21</v>
      </c>
      <c r="F34" s="2" t="s">
        <v>22</v>
      </c>
      <c r="G34" s="2" t="s">
        <v>23</v>
      </c>
      <c r="H34" s="2" t="s">
        <v>23</v>
      </c>
      <c r="I34" s="2" t="s">
        <v>24</v>
      </c>
      <c r="J34" s="2" t="s">
        <v>22</v>
      </c>
      <c r="K34" s="2" t="s">
        <v>24</v>
      </c>
      <c r="L34" s="2" t="s">
        <v>25</v>
      </c>
      <c r="M34" s="3" t="s">
        <v>25</v>
      </c>
      <c r="N34" s="3" t="s">
        <v>26</v>
      </c>
      <c r="O34" s="3" t="s">
        <v>27</v>
      </c>
      <c r="P34" s="2" t="s">
        <v>28</v>
      </c>
    </row>
    <row r="35" spans="1:16" s="1" customFormat="1" ht="25.5" customHeight="1" x14ac:dyDescent="0.25">
      <c r="A35" s="2">
        <v>1</v>
      </c>
      <c r="B35" s="4" t="s">
        <v>65</v>
      </c>
      <c r="C35" s="4" t="s">
        <v>29</v>
      </c>
      <c r="D35" s="2" t="s">
        <v>30</v>
      </c>
      <c r="E35" s="2">
        <v>1.6</v>
      </c>
      <c r="F35" s="2">
        <v>74</v>
      </c>
      <c r="G35" s="5">
        <f>H35*100/F35</f>
        <v>189.18918918918919</v>
      </c>
      <c r="H35" s="2">
        <v>140</v>
      </c>
      <c r="I35" s="6">
        <f>1/(H35/(10*F35))</f>
        <v>5.2857142857142856</v>
      </c>
      <c r="J35" s="2">
        <v>50</v>
      </c>
      <c r="K35" s="6">
        <f>I35-(I35/100*J35)</f>
        <v>2.6428571428571428</v>
      </c>
      <c r="L35" s="7">
        <f>M35/1.6</f>
        <v>540.625</v>
      </c>
      <c r="M35" s="8">
        <v>865</v>
      </c>
      <c r="N35" s="9">
        <f>A35/K35</f>
        <v>0.3783783783783784</v>
      </c>
      <c r="O35" s="8">
        <f>E35*N35</f>
        <v>0.60540540540540544</v>
      </c>
      <c r="P35" s="10">
        <f>N35*M35</f>
        <v>327.29729729729729</v>
      </c>
    </row>
    <row r="36" spans="1:16" s="1" customFormat="1" ht="38.25" customHeight="1" x14ac:dyDescent="0.25">
      <c r="A36" s="2">
        <v>1</v>
      </c>
      <c r="B36" s="4" t="s">
        <v>31</v>
      </c>
      <c r="C36" s="4" t="s">
        <v>32</v>
      </c>
      <c r="D36" s="11">
        <v>9003</v>
      </c>
      <c r="E36" s="2">
        <v>1.4</v>
      </c>
      <c r="F36" s="2">
        <v>63</v>
      </c>
      <c r="G36" s="5">
        <f>H36*100/F36</f>
        <v>95.238095238095241</v>
      </c>
      <c r="H36" s="2">
        <v>60</v>
      </c>
      <c r="I36" s="6">
        <f>1/(H36/(10*F36))</f>
        <v>10.5</v>
      </c>
      <c r="J36" s="2">
        <v>50</v>
      </c>
      <c r="K36" s="6">
        <f>I36-(I36/100*J36)</f>
        <v>5.25</v>
      </c>
      <c r="L36" s="7">
        <f>M36/1.4</f>
        <v>922.85714285714289</v>
      </c>
      <c r="M36" s="8">
        <v>1292</v>
      </c>
      <c r="N36" s="9">
        <f>A36/K36</f>
        <v>0.19047619047619047</v>
      </c>
      <c r="O36" s="9">
        <f>E36*N36</f>
        <v>0.26666666666666661</v>
      </c>
      <c r="P36" s="10">
        <f>N36*M36</f>
        <v>246.09523809523807</v>
      </c>
    </row>
    <row r="37" spans="1:16" s="1" customFormat="1" ht="15.75" customHeight="1" x14ac:dyDescent="0.25">
      <c r="A37" s="283" t="s">
        <v>33</v>
      </c>
      <c r="B37" s="284"/>
      <c r="C37" s="284"/>
      <c r="D37" s="285"/>
      <c r="E37" s="2">
        <v>0.9</v>
      </c>
      <c r="F37" s="283">
        <v>5</v>
      </c>
      <c r="G37" s="284"/>
      <c r="H37" s="284"/>
      <c r="I37" s="285"/>
      <c r="J37" s="2"/>
      <c r="K37" s="2"/>
      <c r="L37" s="4"/>
      <c r="M37" s="12">
        <v>420</v>
      </c>
      <c r="N37" s="13">
        <f>N35*(F37/100)</f>
        <v>1.891891891891892E-2</v>
      </c>
      <c r="O37" s="9">
        <f>E37*N37</f>
        <v>1.702702702702703E-2</v>
      </c>
      <c r="P37" s="10">
        <f>O37*M37</f>
        <v>7.1513513513513525</v>
      </c>
    </row>
    <row r="38" spans="1:16" s="1" customFormat="1" ht="15.75" customHeight="1" x14ac:dyDescent="0.25">
      <c r="A38" s="283" t="s">
        <v>34</v>
      </c>
      <c r="B38" s="284"/>
      <c r="C38" s="284"/>
      <c r="D38" s="285"/>
      <c r="E38" s="2">
        <v>0.9</v>
      </c>
      <c r="F38" s="283">
        <v>5</v>
      </c>
      <c r="G38" s="284"/>
      <c r="H38" s="284"/>
      <c r="I38" s="285"/>
      <c r="J38" s="2"/>
      <c r="K38" s="2"/>
      <c r="L38" s="4"/>
      <c r="M38" s="12">
        <v>420</v>
      </c>
      <c r="N38" s="13">
        <f>N36*(F38/100)</f>
        <v>9.5238095238095247E-3</v>
      </c>
      <c r="O38" s="9">
        <f>E38*N38</f>
        <v>8.5714285714285719E-3</v>
      </c>
      <c r="P38" s="10">
        <f>O38*M38</f>
        <v>3.6</v>
      </c>
    </row>
    <row r="39" spans="1:16" s="1" customFormat="1" ht="22.5" customHeight="1" x14ac:dyDescent="0.25">
      <c r="A39" s="2"/>
      <c r="B39" s="283" t="s">
        <v>35</v>
      </c>
      <c r="C39" s="284"/>
      <c r="D39" s="284"/>
      <c r="E39" s="284"/>
      <c r="F39" s="284"/>
      <c r="G39" s="285"/>
      <c r="H39" s="2">
        <f>SUM(H35:H36)</f>
        <v>200</v>
      </c>
      <c r="I39" s="283"/>
      <c r="J39" s="284"/>
      <c r="K39" s="284"/>
      <c r="L39" s="284"/>
      <c r="M39" s="284"/>
      <c r="N39" s="284"/>
      <c r="O39" s="285"/>
      <c r="P39" s="10">
        <f>SUM(P35:P38)</f>
        <v>584.1438867438867</v>
      </c>
    </row>
    <row r="40" spans="1:16" s="1" customFormat="1" ht="18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6"/>
    </row>
    <row r="41" spans="1:16" ht="18.75" customHeight="1" x14ac:dyDescent="0.25">
      <c r="A41" s="325" t="s">
        <v>138</v>
      </c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</row>
    <row r="42" spans="1:16" s="1" customFormat="1" ht="15.75" customHeight="1" x14ac:dyDescent="0.25">
      <c r="A42" s="326" t="s">
        <v>0</v>
      </c>
      <c r="B42" s="326" t="s">
        <v>1</v>
      </c>
      <c r="C42" s="326" t="s">
        <v>2</v>
      </c>
      <c r="D42" s="326" t="s">
        <v>3</v>
      </c>
      <c r="E42" s="326" t="s">
        <v>4</v>
      </c>
      <c r="F42" s="326" t="s">
        <v>5</v>
      </c>
      <c r="G42" s="329" t="s">
        <v>6</v>
      </c>
      <c r="H42" s="330"/>
      <c r="I42" s="329" t="s">
        <v>7</v>
      </c>
      <c r="J42" s="331"/>
      <c r="K42" s="330"/>
      <c r="L42" s="326" t="s">
        <v>8</v>
      </c>
      <c r="M42" s="332" t="s">
        <v>9</v>
      </c>
      <c r="N42" s="332" t="s">
        <v>137</v>
      </c>
      <c r="O42" s="332" t="s">
        <v>137</v>
      </c>
      <c r="P42" s="319" t="s">
        <v>12</v>
      </c>
    </row>
    <row r="43" spans="1:16" s="1" customFormat="1" ht="15.75" x14ac:dyDescent="0.25">
      <c r="A43" s="327"/>
      <c r="B43" s="327"/>
      <c r="C43" s="327"/>
      <c r="D43" s="327"/>
      <c r="E43" s="327"/>
      <c r="F43" s="327"/>
      <c r="G43" s="326" t="s">
        <v>13</v>
      </c>
      <c r="H43" s="326" t="s">
        <v>14</v>
      </c>
      <c r="I43" s="326" t="s">
        <v>15</v>
      </c>
      <c r="J43" s="326" t="s">
        <v>16</v>
      </c>
      <c r="K43" s="326" t="s">
        <v>17</v>
      </c>
      <c r="L43" s="327"/>
      <c r="M43" s="333"/>
      <c r="N43" s="333"/>
      <c r="O43" s="333"/>
      <c r="P43" s="320"/>
    </row>
    <row r="44" spans="1:16" s="1" customFormat="1" ht="66" customHeight="1" x14ac:dyDescent="0.25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34"/>
      <c r="N44" s="334"/>
      <c r="O44" s="334"/>
      <c r="P44" s="321"/>
    </row>
    <row r="45" spans="1:16" s="1" customFormat="1" ht="28.5" customHeight="1" x14ac:dyDescent="0.25">
      <c r="A45" s="2" t="s">
        <v>18</v>
      </c>
      <c r="B45" s="2" t="s">
        <v>19</v>
      </c>
      <c r="C45" s="2"/>
      <c r="D45" s="2" t="s">
        <v>20</v>
      </c>
      <c r="E45" s="2" t="s">
        <v>21</v>
      </c>
      <c r="F45" s="2" t="s">
        <v>22</v>
      </c>
      <c r="G45" s="2" t="s">
        <v>23</v>
      </c>
      <c r="H45" s="2" t="s">
        <v>23</v>
      </c>
      <c r="I45" s="2" t="s">
        <v>24</v>
      </c>
      <c r="J45" s="2" t="s">
        <v>22</v>
      </c>
      <c r="K45" s="2" t="s">
        <v>24</v>
      </c>
      <c r="L45" s="2" t="s">
        <v>25</v>
      </c>
      <c r="M45" s="3" t="s">
        <v>25</v>
      </c>
      <c r="N45" s="3" t="s">
        <v>26</v>
      </c>
      <c r="O45" s="3" t="s">
        <v>27</v>
      </c>
      <c r="P45" s="2" t="s">
        <v>28</v>
      </c>
    </row>
    <row r="46" spans="1:16" s="1" customFormat="1" ht="25.5" customHeight="1" x14ac:dyDescent="0.25">
      <c r="A46" s="2">
        <v>1</v>
      </c>
      <c r="B46" s="4" t="s">
        <v>65</v>
      </c>
      <c r="C46" s="4" t="s">
        <v>29</v>
      </c>
      <c r="D46" s="2" t="s">
        <v>30</v>
      </c>
      <c r="E46" s="2">
        <v>1.6</v>
      </c>
      <c r="F46" s="2">
        <v>74</v>
      </c>
      <c r="G46" s="5">
        <f>H46*100/F46</f>
        <v>135.13513513513513</v>
      </c>
      <c r="H46" s="2">
        <v>100</v>
      </c>
      <c r="I46" s="6">
        <f>1/(H46/(10*F46))</f>
        <v>7.3999999999999995</v>
      </c>
      <c r="J46" s="2">
        <v>30</v>
      </c>
      <c r="K46" s="6">
        <f>I46-(I46/100*J46)</f>
        <v>5.18</v>
      </c>
      <c r="L46" s="7">
        <f>865/1.6</f>
        <v>540.625</v>
      </c>
      <c r="M46" s="8">
        <f>L46*E46</f>
        <v>865</v>
      </c>
      <c r="N46" s="9">
        <f>A46/K46</f>
        <v>0.19305019305019305</v>
      </c>
      <c r="O46" s="8">
        <f>E46*N46</f>
        <v>0.30888030888030893</v>
      </c>
      <c r="P46" s="10">
        <f>O46*L46</f>
        <v>166.98841698841701</v>
      </c>
    </row>
    <row r="47" spans="1:16" s="1" customFormat="1" ht="38.25" customHeight="1" x14ac:dyDescent="0.25">
      <c r="A47" s="2">
        <v>1</v>
      </c>
      <c r="B47" s="4" t="s">
        <v>65</v>
      </c>
      <c r="C47" s="4" t="s">
        <v>29</v>
      </c>
      <c r="D47" s="2" t="s">
        <v>30</v>
      </c>
      <c r="E47" s="2">
        <v>1.6</v>
      </c>
      <c r="F47" s="2">
        <v>74</v>
      </c>
      <c r="G47" s="5">
        <f>H47*100/F47</f>
        <v>135.13513513513513</v>
      </c>
      <c r="H47" s="2">
        <v>100</v>
      </c>
      <c r="I47" s="6">
        <f>1/(H47/(10*F47))</f>
        <v>7.3999999999999995</v>
      </c>
      <c r="J47" s="2">
        <v>30</v>
      </c>
      <c r="K47" s="6">
        <f>I47-(I47/100*J47)</f>
        <v>5.18</v>
      </c>
      <c r="L47" s="7">
        <f>865/1.6</f>
        <v>540.625</v>
      </c>
      <c r="M47" s="8">
        <f>L47*E47</f>
        <v>865</v>
      </c>
      <c r="N47" s="9">
        <f>A47/K47</f>
        <v>0.19305019305019305</v>
      </c>
      <c r="O47" s="9">
        <f>E47*N47</f>
        <v>0.30888030888030893</v>
      </c>
      <c r="P47" s="10">
        <f>O47*L47</f>
        <v>166.98841698841701</v>
      </c>
    </row>
    <row r="48" spans="1:16" s="1" customFormat="1" ht="15.75" customHeight="1" x14ac:dyDescent="0.25">
      <c r="A48" s="283" t="s">
        <v>33</v>
      </c>
      <c r="B48" s="284"/>
      <c r="C48" s="284"/>
      <c r="D48" s="285"/>
      <c r="E48" s="2">
        <v>0.9</v>
      </c>
      <c r="F48" s="283">
        <v>5</v>
      </c>
      <c r="G48" s="284"/>
      <c r="H48" s="284"/>
      <c r="I48" s="285"/>
      <c r="J48" s="2"/>
      <c r="K48" s="2"/>
      <c r="L48" s="4">
        <v>420</v>
      </c>
      <c r="M48" s="12">
        <v>420</v>
      </c>
      <c r="N48" s="13">
        <f>N46*(F48/100)</f>
        <v>9.652509652509654E-3</v>
      </c>
      <c r="O48" s="9">
        <f>E48*N48</f>
        <v>8.687258687258689E-3</v>
      </c>
      <c r="P48" s="10">
        <f>N48*L48</f>
        <v>4.0540540540540544</v>
      </c>
    </row>
    <row r="49" spans="1:16" s="1" customFormat="1" ht="15.75" customHeight="1" x14ac:dyDescent="0.25">
      <c r="A49" s="283" t="s">
        <v>33</v>
      </c>
      <c r="B49" s="284"/>
      <c r="C49" s="284"/>
      <c r="D49" s="285"/>
      <c r="E49" s="2">
        <v>0.9</v>
      </c>
      <c r="F49" s="283">
        <v>5</v>
      </c>
      <c r="G49" s="284"/>
      <c r="H49" s="284"/>
      <c r="I49" s="285"/>
      <c r="J49" s="2"/>
      <c r="K49" s="2"/>
      <c r="L49" s="4">
        <v>420</v>
      </c>
      <c r="M49" s="12">
        <v>420</v>
      </c>
      <c r="N49" s="13">
        <f>N47*(F49/100)</f>
        <v>9.652509652509654E-3</v>
      </c>
      <c r="O49" s="9">
        <f>E49*N49</f>
        <v>8.687258687258689E-3</v>
      </c>
      <c r="P49" s="10">
        <f>N49*L49</f>
        <v>4.0540540540540544</v>
      </c>
    </row>
    <row r="50" spans="1:16" s="1" customFormat="1" ht="38.25" customHeight="1" x14ac:dyDescent="0.25">
      <c r="A50" s="2"/>
      <c r="B50" s="283" t="s">
        <v>35</v>
      </c>
      <c r="C50" s="284"/>
      <c r="D50" s="284"/>
      <c r="E50" s="284"/>
      <c r="F50" s="284"/>
      <c r="G50" s="285"/>
      <c r="H50" s="2">
        <f>SUM(H46:H47)</f>
        <v>200</v>
      </c>
      <c r="I50" s="283"/>
      <c r="J50" s="284"/>
      <c r="K50" s="284"/>
      <c r="L50" s="284"/>
      <c r="M50" s="284"/>
      <c r="N50" s="284"/>
      <c r="O50" s="285"/>
      <c r="P50" s="10">
        <f>SUM(P46:P49)</f>
        <v>342.08494208494216</v>
      </c>
    </row>
    <row r="51" spans="1:16" s="1" customFormat="1" ht="38.2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6"/>
    </row>
    <row r="52" spans="1:16" x14ac:dyDescent="0.25">
      <c r="A52" s="390" t="s">
        <v>132</v>
      </c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</row>
    <row r="53" spans="1:16" s="1" customFormat="1" ht="15.75" customHeight="1" x14ac:dyDescent="0.25">
      <c r="A53" s="322" t="s">
        <v>0</v>
      </c>
      <c r="B53" s="322" t="s">
        <v>1</v>
      </c>
      <c r="C53" s="322" t="s">
        <v>2</v>
      </c>
      <c r="D53" s="322" t="s">
        <v>3</v>
      </c>
      <c r="E53" s="322" t="s">
        <v>4</v>
      </c>
      <c r="F53" s="322" t="s">
        <v>5</v>
      </c>
      <c r="G53" s="322" t="s">
        <v>6</v>
      </c>
      <c r="H53" s="322"/>
      <c r="I53" s="322" t="s">
        <v>7</v>
      </c>
      <c r="J53" s="322"/>
      <c r="K53" s="322"/>
      <c r="L53" s="322" t="s">
        <v>8</v>
      </c>
      <c r="M53" s="278" t="s">
        <v>9</v>
      </c>
      <c r="N53" s="278" t="s">
        <v>10</v>
      </c>
      <c r="O53" s="278" t="s">
        <v>11</v>
      </c>
      <c r="P53" s="362" t="s">
        <v>12</v>
      </c>
    </row>
    <row r="54" spans="1:16" s="1" customFormat="1" ht="15.75" x14ac:dyDescent="0.25">
      <c r="A54" s="322"/>
      <c r="B54" s="322"/>
      <c r="C54" s="322"/>
      <c r="D54" s="322"/>
      <c r="E54" s="322"/>
      <c r="F54" s="322"/>
      <c r="G54" s="322" t="s">
        <v>13</v>
      </c>
      <c r="H54" s="322" t="s">
        <v>14</v>
      </c>
      <c r="I54" s="322" t="s">
        <v>15</v>
      </c>
      <c r="J54" s="322" t="s">
        <v>16</v>
      </c>
      <c r="K54" s="322" t="s">
        <v>17</v>
      </c>
      <c r="L54" s="322"/>
      <c r="M54" s="278"/>
      <c r="N54" s="278"/>
      <c r="O54" s="278"/>
      <c r="P54" s="362"/>
    </row>
    <row r="55" spans="1:16" s="1" customFormat="1" ht="15.75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278"/>
      <c r="N55" s="278"/>
      <c r="O55" s="278"/>
      <c r="P55" s="362"/>
    </row>
    <row r="56" spans="1:16" s="1" customFormat="1" ht="28.5" customHeight="1" x14ac:dyDescent="0.25">
      <c r="A56" s="2" t="s">
        <v>18</v>
      </c>
      <c r="B56" s="2" t="s">
        <v>19</v>
      </c>
      <c r="C56" s="2"/>
      <c r="D56" s="2" t="s">
        <v>20</v>
      </c>
      <c r="E56" s="2" t="s">
        <v>21</v>
      </c>
      <c r="F56" s="2" t="s">
        <v>22</v>
      </c>
      <c r="G56" s="2" t="s">
        <v>23</v>
      </c>
      <c r="H56" s="2" t="s">
        <v>23</v>
      </c>
      <c r="I56" s="2" t="s">
        <v>24</v>
      </c>
      <c r="J56" s="2" t="s">
        <v>22</v>
      </c>
      <c r="K56" s="2" t="s">
        <v>24</v>
      </c>
      <c r="L56" s="2" t="s">
        <v>25</v>
      </c>
      <c r="M56" s="3" t="s">
        <v>25</v>
      </c>
      <c r="N56" s="3" t="s">
        <v>26</v>
      </c>
      <c r="O56" s="3" t="s">
        <v>27</v>
      </c>
      <c r="P56" s="2" t="s">
        <v>28</v>
      </c>
    </row>
    <row r="57" spans="1:16" s="1" customFormat="1" ht="25.5" customHeight="1" x14ac:dyDescent="0.25">
      <c r="A57" s="2">
        <v>1</v>
      </c>
      <c r="B57" s="4" t="s">
        <v>65</v>
      </c>
      <c r="C57" s="4" t="s">
        <v>29</v>
      </c>
      <c r="D57" s="2" t="s">
        <v>30</v>
      </c>
      <c r="E57" s="2">
        <v>1.6</v>
      </c>
      <c r="F57" s="2">
        <v>74</v>
      </c>
      <c r="G57" s="5">
        <f>H57*100/F57</f>
        <v>243.24324324324326</v>
      </c>
      <c r="H57" s="2">
        <v>180</v>
      </c>
      <c r="I57" s="6">
        <f>1/(H57/(10*F57))</f>
        <v>4.1111111111111107</v>
      </c>
      <c r="J57" s="2">
        <v>30</v>
      </c>
      <c r="K57" s="6">
        <f>I57-(I57/100*J57)</f>
        <v>2.8777777777777773</v>
      </c>
      <c r="L57" s="7">
        <v>540</v>
      </c>
      <c r="M57" s="8">
        <f>L57*E57</f>
        <v>864</v>
      </c>
      <c r="N57" s="9">
        <f>A57/K57</f>
        <v>0.34749034749034752</v>
      </c>
      <c r="O57" s="8">
        <f>E57*N57</f>
        <v>0.55598455598455609</v>
      </c>
      <c r="P57" s="10">
        <f>O57*L57</f>
        <v>300.23166023166027</v>
      </c>
    </row>
    <row r="58" spans="1:16" s="1" customFormat="1" ht="38.25" customHeight="1" x14ac:dyDescent="0.25">
      <c r="A58" s="2">
        <v>1</v>
      </c>
      <c r="B58" s="4" t="s">
        <v>31</v>
      </c>
      <c r="C58" s="4" t="s">
        <v>32</v>
      </c>
      <c r="D58" s="11">
        <v>7047</v>
      </c>
      <c r="E58" s="2">
        <v>1.4</v>
      </c>
      <c r="F58" s="2">
        <v>63</v>
      </c>
      <c r="G58" s="5">
        <f>H58*100/F58</f>
        <v>95.238095238095241</v>
      </c>
      <c r="H58" s="2">
        <v>60</v>
      </c>
      <c r="I58" s="6">
        <f>1/(H58/(10*F58))</f>
        <v>10.5</v>
      </c>
      <c r="J58" s="2">
        <v>30</v>
      </c>
      <c r="K58" s="6">
        <f>I58-(I58/100*J58)</f>
        <v>7.35</v>
      </c>
      <c r="L58" s="7">
        <v>1025</v>
      </c>
      <c r="M58" s="8">
        <f>L58*E58</f>
        <v>1435</v>
      </c>
      <c r="N58" s="9">
        <f>A58/K58</f>
        <v>0.1360544217687075</v>
      </c>
      <c r="O58" s="9">
        <f>E58*N58</f>
        <v>0.19047619047619049</v>
      </c>
      <c r="P58" s="10">
        <f>O58*L58</f>
        <v>195.23809523809527</v>
      </c>
    </row>
    <row r="59" spans="1:16" s="1" customFormat="1" ht="15.75" x14ac:dyDescent="0.25">
      <c r="A59" s="363" t="s">
        <v>33</v>
      </c>
      <c r="B59" s="363"/>
      <c r="C59" s="363"/>
      <c r="D59" s="363"/>
      <c r="E59" s="2">
        <v>0.9</v>
      </c>
      <c r="F59" s="363">
        <v>5</v>
      </c>
      <c r="G59" s="363"/>
      <c r="H59" s="363"/>
      <c r="I59" s="363"/>
      <c r="J59" s="2"/>
      <c r="K59" s="2"/>
      <c r="L59" s="4"/>
      <c r="M59" s="12">
        <v>420</v>
      </c>
      <c r="N59" s="13">
        <f>N57*(F59/100)</f>
        <v>1.7374517374517378E-2</v>
      </c>
      <c r="O59" s="9">
        <f>E59*N59</f>
        <v>1.5637065637065642E-2</v>
      </c>
      <c r="P59" s="10">
        <f>N59*L59</f>
        <v>0</v>
      </c>
    </row>
    <row r="60" spans="1:16" s="1" customFormat="1" ht="15.75" x14ac:dyDescent="0.25">
      <c r="A60" s="363" t="s">
        <v>34</v>
      </c>
      <c r="B60" s="363"/>
      <c r="C60" s="363"/>
      <c r="D60" s="363"/>
      <c r="E60" s="2">
        <v>0.9</v>
      </c>
      <c r="F60" s="363">
        <v>5</v>
      </c>
      <c r="G60" s="363"/>
      <c r="H60" s="363"/>
      <c r="I60" s="363"/>
      <c r="J60" s="2"/>
      <c r="K60" s="2"/>
      <c r="L60" s="4"/>
      <c r="M60" s="12">
        <v>420</v>
      </c>
      <c r="N60" s="13">
        <f>N58*(F60/100)</f>
        <v>6.8027210884353748E-3</v>
      </c>
      <c r="O60" s="9">
        <f>E60*N60</f>
        <v>6.1224489795918373E-3</v>
      </c>
      <c r="P60" s="10">
        <f>N60*L60</f>
        <v>0</v>
      </c>
    </row>
    <row r="61" spans="1:16" s="1" customFormat="1" ht="38.25" customHeight="1" x14ac:dyDescent="0.25">
      <c r="A61" s="2"/>
      <c r="B61" s="363" t="s">
        <v>35</v>
      </c>
      <c r="C61" s="363"/>
      <c r="D61" s="363"/>
      <c r="E61" s="363"/>
      <c r="F61" s="363"/>
      <c r="G61" s="363"/>
      <c r="H61" s="2">
        <f>SUM(H57:H58)</f>
        <v>240</v>
      </c>
      <c r="I61" s="363"/>
      <c r="J61" s="363"/>
      <c r="K61" s="363"/>
      <c r="L61" s="363"/>
      <c r="M61" s="363"/>
      <c r="N61" s="363"/>
      <c r="O61" s="363"/>
      <c r="P61" s="10">
        <f>SUM(P57:P60)</f>
        <v>495.46975546975557</v>
      </c>
    </row>
    <row r="63" spans="1:16" x14ac:dyDescent="0.25">
      <c r="A63" s="390" t="s">
        <v>133</v>
      </c>
      <c r="B63" s="39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</row>
    <row r="64" spans="1:16" ht="15.75" x14ac:dyDescent="0.25">
      <c r="A64" s="322" t="s">
        <v>0</v>
      </c>
      <c r="B64" s="322" t="s">
        <v>1</v>
      </c>
      <c r="C64" s="322" t="s">
        <v>2</v>
      </c>
      <c r="D64" s="322" t="s">
        <v>3</v>
      </c>
      <c r="E64" s="322" t="s">
        <v>4</v>
      </c>
      <c r="F64" s="322" t="s">
        <v>5</v>
      </c>
      <c r="G64" s="322" t="s">
        <v>6</v>
      </c>
      <c r="H64" s="322"/>
      <c r="I64" s="322" t="s">
        <v>7</v>
      </c>
      <c r="J64" s="322"/>
      <c r="K64" s="322"/>
      <c r="L64" s="322" t="s">
        <v>8</v>
      </c>
      <c r="M64" s="278" t="s">
        <v>9</v>
      </c>
      <c r="N64" s="278" t="s">
        <v>10</v>
      </c>
      <c r="O64" s="278" t="s">
        <v>11</v>
      </c>
      <c r="P64" s="362" t="s">
        <v>12</v>
      </c>
    </row>
    <row r="65" spans="1:16" x14ac:dyDescent="0.25">
      <c r="A65" s="322"/>
      <c r="B65" s="322"/>
      <c r="C65" s="322"/>
      <c r="D65" s="322"/>
      <c r="E65" s="322"/>
      <c r="F65" s="322"/>
      <c r="G65" s="322" t="s">
        <v>13</v>
      </c>
      <c r="H65" s="322" t="s">
        <v>14</v>
      </c>
      <c r="I65" s="322" t="s">
        <v>15</v>
      </c>
      <c r="J65" s="322" t="s">
        <v>16</v>
      </c>
      <c r="K65" s="322" t="s">
        <v>17</v>
      </c>
      <c r="L65" s="322"/>
      <c r="M65" s="278"/>
      <c r="N65" s="278"/>
      <c r="O65" s="278"/>
      <c r="P65" s="362"/>
    </row>
    <row r="66" spans="1:16" x14ac:dyDescent="0.25">
      <c r="A66" s="322"/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278"/>
      <c r="N66" s="278"/>
      <c r="O66" s="278"/>
      <c r="P66" s="362"/>
    </row>
    <row r="67" spans="1:16" ht="15.75" x14ac:dyDescent="0.25">
      <c r="A67" s="2" t="s">
        <v>18</v>
      </c>
      <c r="B67" s="2" t="s">
        <v>19</v>
      </c>
      <c r="C67" s="2"/>
      <c r="D67" s="2" t="s">
        <v>20</v>
      </c>
      <c r="E67" s="2" t="s">
        <v>21</v>
      </c>
      <c r="F67" s="2" t="s">
        <v>22</v>
      </c>
      <c r="G67" s="2" t="s">
        <v>23</v>
      </c>
      <c r="H67" s="2" t="s">
        <v>23</v>
      </c>
      <c r="I67" s="2" t="s">
        <v>24</v>
      </c>
      <c r="J67" s="2" t="s">
        <v>22</v>
      </c>
      <c r="K67" s="2" t="s">
        <v>24</v>
      </c>
      <c r="L67" s="2" t="s">
        <v>25</v>
      </c>
      <c r="M67" s="3" t="s">
        <v>25</v>
      </c>
      <c r="N67" s="3" t="s">
        <v>26</v>
      </c>
      <c r="O67" s="3" t="s">
        <v>27</v>
      </c>
      <c r="P67" s="2" t="s">
        <v>28</v>
      </c>
    </row>
    <row r="68" spans="1:16" ht="15.75" x14ac:dyDescent="0.25">
      <c r="A68" s="2">
        <v>1</v>
      </c>
      <c r="B68" s="4" t="s">
        <v>392</v>
      </c>
      <c r="C68" s="4" t="s">
        <v>29</v>
      </c>
      <c r="D68" s="2" t="s">
        <v>30</v>
      </c>
      <c r="E68" s="2">
        <v>1.5</v>
      </c>
      <c r="F68" s="2">
        <v>95</v>
      </c>
      <c r="G68" s="5">
        <f>H68*100/F68</f>
        <v>157.89473684210526</v>
      </c>
      <c r="H68" s="2">
        <v>150</v>
      </c>
      <c r="I68" s="6">
        <f>1/(H68/(10*F68))</f>
        <v>6.3333333333333339</v>
      </c>
      <c r="J68" s="2">
        <v>0</v>
      </c>
      <c r="K68" s="6">
        <f>I68-(I68/100*J68)</f>
        <v>6.3333333333333339</v>
      </c>
      <c r="L68" s="7">
        <v>1218.75</v>
      </c>
      <c r="M68" s="8">
        <f>L68*E68</f>
        <v>1828.125</v>
      </c>
      <c r="N68" s="9">
        <f>A68/K68</f>
        <v>0.15789473684210525</v>
      </c>
      <c r="O68" s="8">
        <f>E68*N68</f>
        <v>0.23684210526315788</v>
      </c>
      <c r="P68" s="10">
        <f>O68*L68</f>
        <v>288.65131578947364</v>
      </c>
    </row>
    <row r="69" spans="1:16" ht="15.75" x14ac:dyDescent="0.25">
      <c r="A69" s="2">
        <v>1</v>
      </c>
      <c r="B69" s="4" t="s">
        <v>392</v>
      </c>
      <c r="C69" s="4" t="s">
        <v>29</v>
      </c>
      <c r="D69" s="11" t="s">
        <v>30</v>
      </c>
      <c r="E69" s="2">
        <v>1.5</v>
      </c>
      <c r="F69" s="2">
        <v>95</v>
      </c>
      <c r="G69" s="5">
        <f>H69*100/F69</f>
        <v>157.89473684210526</v>
      </c>
      <c r="H69" s="2">
        <v>150</v>
      </c>
      <c r="I69" s="6">
        <f>1/(H69/(10*F69))</f>
        <v>6.3333333333333339</v>
      </c>
      <c r="J69" s="2">
        <v>0</v>
      </c>
      <c r="K69" s="6">
        <f>I69-(I69/100*J69)</f>
        <v>6.3333333333333339</v>
      </c>
      <c r="L69" s="7">
        <v>1218.75</v>
      </c>
      <c r="M69" s="8">
        <f>L69*E69</f>
        <v>1828.125</v>
      </c>
      <c r="N69" s="9">
        <f>A69/K69</f>
        <v>0.15789473684210525</v>
      </c>
      <c r="O69" s="9">
        <f>E69*N69</f>
        <v>0.23684210526315788</v>
      </c>
      <c r="P69" s="10">
        <f>O69*L69</f>
        <v>288.65131578947364</v>
      </c>
    </row>
    <row r="70" spans="1:16" ht="15.75" x14ac:dyDescent="0.25">
      <c r="A70" s="363" t="s">
        <v>33</v>
      </c>
      <c r="B70" s="363"/>
      <c r="C70" s="363"/>
      <c r="D70" s="363"/>
      <c r="E70" s="2">
        <v>0.9</v>
      </c>
      <c r="F70" s="363">
        <v>5</v>
      </c>
      <c r="G70" s="363"/>
      <c r="H70" s="363"/>
      <c r="I70" s="363"/>
      <c r="J70" s="2"/>
      <c r="K70" s="2"/>
      <c r="L70" s="4"/>
      <c r="M70" s="12">
        <v>500</v>
      </c>
      <c r="N70" s="13">
        <f>N68*(F70/100)</f>
        <v>7.8947368421052634E-3</v>
      </c>
      <c r="O70" s="9">
        <f>E70*N70</f>
        <v>7.1052631578947369E-3</v>
      </c>
      <c r="P70" s="10">
        <f>N70*M70</f>
        <v>3.9473684210526319</v>
      </c>
    </row>
    <row r="71" spans="1:16" ht="15.75" customHeight="1" x14ac:dyDescent="0.25">
      <c r="A71" s="363" t="s">
        <v>33</v>
      </c>
      <c r="B71" s="363"/>
      <c r="C71" s="363"/>
      <c r="D71" s="363"/>
      <c r="E71" s="2">
        <v>0.9</v>
      </c>
      <c r="F71" s="363">
        <v>5</v>
      </c>
      <c r="G71" s="363"/>
      <c r="H71" s="363"/>
      <c r="I71" s="363"/>
      <c r="J71" s="2"/>
      <c r="K71" s="2"/>
      <c r="L71" s="4"/>
      <c r="M71" s="12">
        <v>500</v>
      </c>
      <c r="N71" s="13">
        <f>N69*(F71/100)</f>
        <v>7.8947368421052634E-3</v>
      </c>
      <c r="O71" s="9">
        <f>E71*N71</f>
        <v>7.1052631578947369E-3</v>
      </c>
      <c r="P71" s="10">
        <f>N71*M71</f>
        <v>3.9473684210526319</v>
      </c>
    </row>
    <row r="72" spans="1:16" ht="15.75" x14ac:dyDescent="0.25">
      <c r="A72" s="2"/>
      <c r="B72" s="363" t="s">
        <v>35</v>
      </c>
      <c r="C72" s="363"/>
      <c r="D72" s="363"/>
      <c r="E72" s="363"/>
      <c r="F72" s="363"/>
      <c r="G72" s="363"/>
      <c r="H72" s="2">
        <f>SUM(H68:H69)</f>
        <v>300</v>
      </c>
      <c r="I72" s="283" t="s">
        <v>222</v>
      </c>
      <c r="J72" s="284"/>
      <c r="K72" s="285"/>
      <c r="L72" s="214"/>
      <c r="M72" s="214"/>
      <c r="N72" s="215">
        <f>N68+N69</f>
        <v>0.31578947368421051</v>
      </c>
      <c r="O72" s="215">
        <f>O68+O69</f>
        <v>0.47368421052631576</v>
      </c>
      <c r="P72" s="10">
        <f>SUM(P68:P71)</f>
        <v>585.19736842105249</v>
      </c>
    </row>
    <row r="73" spans="1:16" ht="15.75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6"/>
    </row>
    <row r="74" spans="1:16" ht="15.75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6"/>
    </row>
    <row r="75" spans="1:16" x14ac:dyDescent="0.25">
      <c r="A75" s="390" t="s">
        <v>132</v>
      </c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</row>
    <row r="76" spans="1:16" ht="15.75" x14ac:dyDescent="0.25">
      <c r="A76" s="322" t="s">
        <v>0</v>
      </c>
      <c r="B76" s="322" t="s">
        <v>1</v>
      </c>
      <c r="C76" s="322" t="s">
        <v>2</v>
      </c>
      <c r="D76" s="322" t="s">
        <v>3</v>
      </c>
      <c r="E76" s="322" t="s">
        <v>4</v>
      </c>
      <c r="F76" s="322" t="s">
        <v>5</v>
      </c>
      <c r="G76" s="322" t="s">
        <v>6</v>
      </c>
      <c r="H76" s="322"/>
      <c r="I76" s="322" t="s">
        <v>7</v>
      </c>
      <c r="J76" s="322"/>
      <c r="K76" s="322"/>
      <c r="L76" s="322" t="s">
        <v>8</v>
      </c>
      <c r="M76" s="278" t="s">
        <v>9</v>
      </c>
      <c r="N76" s="278" t="s">
        <v>10</v>
      </c>
      <c r="O76" s="278" t="s">
        <v>11</v>
      </c>
      <c r="P76" s="362" t="s">
        <v>12</v>
      </c>
    </row>
    <row r="77" spans="1:16" x14ac:dyDescent="0.25">
      <c r="A77" s="322"/>
      <c r="B77" s="322"/>
      <c r="C77" s="322"/>
      <c r="D77" s="322"/>
      <c r="E77" s="322"/>
      <c r="F77" s="322"/>
      <c r="G77" s="322" t="s">
        <v>13</v>
      </c>
      <c r="H77" s="322" t="s">
        <v>14</v>
      </c>
      <c r="I77" s="322" t="s">
        <v>15</v>
      </c>
      <c r="J77" s="322" t="s">
        <v>16</v>
      </c>
      <c r="K77" s="322" t="s">
        <v>17</v>
      </c>
      <c r="L77" s="322"/>
      <c r="M77" s="278"/>
      <c r="N77" s="278"/>
      <c r="O77" s="278"/>
      <c r="P77" s="362"/>
    </row>
    <row r="78" spans="1:16" x14ac:dyDescent="0.25">
      <c r="A78" s="322"/>
      <c r="B78" s="322"/>
      <c r="C78" s="322"/>
      <c r="D78" s="322"/>
      <c r="E78" s="322"/>
      <c r="F78" s="322"/>
      <c r="G78" s="322"/>
      <c r="H78" s="322"/>
      <c r="I78" s="322"/>
      <c r="J78" s="322"/>
      <c r="K78" s="322"/>
      <c r="L78" s="322"/>
      <c r="M78" s="278"/>
      <c r="N78" s="278"/>
      <c r="O78" s="278"/>
      <c r="P78" s="362"/>
    </row>
    <row r="79" spans="1:16" ht="15.75" x14ac:dyDescent="0.25">
      <c r="A79" s="2" t="s">
        <v>18</v>
      </c>
      <c r="B79" s="2" t="s">
        <v>19</v>
      </c>
      <c r="C79" s="2"/>
      <c r="D79" s="2" t="s">
        <v>20</v>
      </c>
      <c r="E79" s="2" t="s">
        <v>21</v>
      </c>
      <c r="F79" s="2" t="s">
        <v>22</v>
      </c>
      <c r="G79" s="2" t="s">
        <v>23</v>
      </c>
      <c r="H79" s="2" t="s">
        <v>23</v>
      </c>
      <c r="I79" s="2" t="s">
        <v>24</v>
      </c>
      <c r="J79" s="2" t="s">
        <v>22</v>
      </c>
      <c r="K79" s="2" t="s">
        <v>24</v>
      </c>
      <c r="L79" s="2" t="s">
        <v>25</v>
      </c>
      <c r="M79" s="3" t="s">
        <v>25</v>
      </c>
      <c r="N79" s="3" t="s">
        <v>26</v>
      </c>
      <c r="O79" s="3" t="s">
        <v>27</v>
      </c>
      <c r="P79" s="2" t="s">
        <v>28</v>
      </c>
    </row>
    <row r="80" spans="1:16" ht="15.75" x14ac:dyDescent="0.25">
      <c r="A80" s="2">
        <v>1</v>
      </c>
      <c r="B80" s="4" t="s">
        <v>65</v>
      </c>
      <c r="C80" s="4" t="s">
        <v>29</v>
      </c>
      <c r="D80" s="2" t="s">
        <v>30</v>
      </c>
      <c r="E80" s="2">
        <v>1.5</v>
      </c>
      <c r="F80" s="2">
        <v>70</v>
      </c>
      <c r="G80" s="5">
        <f>H80*100/F80</f>
        <v>100</v>
      </c>
      <c r="H80" s="2">
        <v>70</v>
      </c>
      <c r="I80" s="6">
        <f>1/(H80/(10*F80))</f>
        <v>10</v>
      </c>
      <c r="J80" s="2">
        <v>0</v>
      </c>
      <c r="K80" s="6">
        <f>I80-(I80/100*J80)</f>
        <v>10</v>
      </c>
      <c r="L80" s="7">
        <v>490</v>
      </c>
      <c r="M80" s="8">
        <f>L80*E80</f>
        <v>735</v>
      </c>
      <c r="N80" s="9">
        <f>A80/K80</f>
        <v>0.1</v>
      </c>
      <c r="O80" s="112">
        <f>E80*N80</f>
        <v>0.15000000000000002</v>
      </c>
      <c r="P80" s="10">
        <f>O80*L80</f>
        <v>73.500000000000014</v>
      </c>
    </row>
    <row r="81" spans="1:16" ht="31.5" x14ac:dyDescent="0.25">
      <c r="A81" s="2">
        <v>1</v>
      </c>
      <c r="B81" s="4" t="s">
        <v>31</v>
      </c>
      <c r="C81" s="4" t="s">
        <v>32</v>
      </c>
      <c r="D81" s="11">
        <v>7047</v>
      </c>
      <c r="E81" s="2">
        <v>1.4</v>
      </c>
      <c r="F81" s="2">
        <v>70</v>
      </c>
      <c r="G81" s="5">
        <f>H81*100/F81</f>
        <v>178.57142857142858</v>
      </c>
      <c r="H81" s="2">
        <v>125</v>
      </c>
      <c r="I81" s="6">
        <f>1/(H81/(10*F81))</f>
        <v>5.6</v>
      </c>
      <c r="J81" s="2">
        <v>0</v>
      </c>
      <c r="K81" s="6">
        <f>I81-(I81/100*J81)</f>
        <v>5.6</v>
      </c>
      <c r="L81" s="7">
        <v>739</v>
      </c>
      <c r="M81" s="8">
        <f>L81*E81</f>
        <v>1034.5999999999999</v>
      </c>
      <c r="N81" s="9">
        <f>A81/K81</f>
        <v>0.17857142857142858</v>
      </c>
      <c r="O81" s="9">
        <f>E81*N81</f>
        <v>0.25</v>
      </c>
      <c r="P81" s="10">
        <f>O81*L81</f>
        <v>184.75</v>
      </c>
    </row>
    <row r="82" spans="1:16" ht="15.75" x14ac:dyDescent="0.25">
      <c r="A82" s="363" t="s">
        <v>33</v>
      </c>
      <c r="B82" s="363"/>
      <c r="C82" s="363"/>
      <c r="D82" s="363"/>
      <c r="E82" s="2">
        <v>0.9</v>
      </c>
      <c r="F82" s="363">
        <v>5</v>
      </c>
      <c r="G82" s="363"/>
      <c r="H82" s="363"/>
      <c r="I82" s="363"/>
      <c r="J82" s="2"/>
      <c r="K82" s="2"/>
      <c r="L82" s="4">
        <v>423</v>
      </c>
      <c r="M82" s="12">
        <v>423</v>
      </c>
      <c r="N82" s="13">
        <f>N80*(F82/100)</f>
        <v>5.000000000000001E-3</v>
      </c>
      <c r="O82" s="9">
        <f>E82*N82</f>
        <v>4.5000000000000014E-3</v>
      </c>
      <c r="P82" s="10">
        <f>N82*L82</f>
        <v>2.1150000000000002</v>
      </c>
    </row>
    <row r="83" spans="1:16" ht="15.75" x14ac:dyDescent="0.25">
      <c r="A83" s="363" t="s">
        <v>34</v>
      </c>
      <c r="B83" s="363"/>
      <c r="C83" s="363"/>
      <c r="D83" s="363"/>
      <c r="E83" s="2">
        <v>0.9</v>
      </c>
      <c r="F83" s="363">
        <v>5</v>
      </c>
      <c r="G83" s="363"/>
      <c r="H83" s="363"/>
      <c r="I83" s="363"/>
      <c r="J83" s="2"/>
      <c r="K83" s="2"/>
      <c r="L83" s="4">
        <v>423</v>
      </c>
      <c r="M83" s="12">
        <v>423</v>
      </c>
      <c r="N83" s="13">
        <f>N81*(F83/100)</f>
        <v>8.9285714285714298E-3</v>
      </c>
      <c r="O83" s="9">
        <f>E83*N83</f>
        <v>8.0357142857142867E-3</v>
      </c>
      <c r="P83" s="10">
        <f>N83*L83</f>
        <v>3.7767857142857149</v>
      </c>
    </row>
    <row r="84" spans="1:16" ht="15.75" x14ac:dyDescent="0.25">
      <c r="A84" s="2"/>
      <c r="B84" s="363" t="s">
        <v>35</v>
      </c>
      <c r="C84" s="363"/>
      <c r="D84" s="363"/>
      <c r="E84" s="363"/>
      <c r="F84" s="363"/>
      <c r="G84" s="363"/>
      <c r="H84" s="2">
        <f>SUM(H80:H81)</f>
        <v>195</v>
      </c>
      <c r="I84" s="363"/>
      <c r="J84" s="363"/>
      <c r="K84" s="363"/>
      <c r="L84" s="363"/>
      <c r="M84" s="363"/>
      <c r="N84" s="363"/>
      <c r="O84" s="363"/>
      <c r="P84" s="10">
        <f>SUM(P80:P83)</f>
        <v>264.14178571428573</v>
      </c>
    </row>
    <row r="87" spans="1:16" x14ac:dyDescent="0.25">
      <c r="A87" s="390" t="s">
        <v>49</v>
      </c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</row>
    <row r="88" spans="1:16" ht="15.75" x14ac:dyDescent="0.25">
      <c r="A88" s="322" t="s">
        <v>0</v>
      </c>
      <c r="B88" s="322" t="s">
        <v>1</v>
      </c>
      <c r="C88" s="322" t="s">
        <v>2</v>
      </c>
      <c r="D88" s="322" t="s">
        <v>3</v>
      </c>
      <c r="E88" s="322" t="s">
        <v>4</v>
      </c>
      <c r="F88" s="322" t="s">
        <v>5</v>
      </c>
      <c r="G88" s="322" t="s">
        <v>6</v>
      </c>
      <c r="H88" s="322"/>
      <c r="I88" s="322" t="s">
        <v>7</v>
      </c>
      <c r="J88" s="322"/>
      <c r="K88" s="322"/>
      <c r="L88" s="322" t="s">
        <v>8</v>
      </c>
      <c r="M88" s="278" t="s">
        <v>9</v>
      </c>
      <c r="N88" s="278" t="s">
        <v>10</v>
      </c>
      <c r="O88" s="278" t="s">
        <v>11</v>
      </c>
      <c r="P88" s="362" t="s">
        <v>12</v>
      </c>
    </row>
    <row r="89" spans="1:16" x14ac:dyDescent="0.25">
      <c r="A89" s="322"/>
      <c r="B89" s="322"/>
      <c r="C89" s="322"/>
      <c r="D89" s="322"/>
      <c r="E89" s="322"/>
      <c r="F89" s="322"/>
      <c r="G89" s="322" t="s">
        <v>13</v>
      </c>
      <c r="H89" s="322" t="s">
        <v>14</v>
      </c>
      <c r="I89" s="322" t="s">
        <v>15</v>
      </c>
      <c r="J89" s="322" t="s">
        <v>16</v>
      </c>
      <c r="K89" s="322" t="s">
        <v>17</v>
      </c>
      <c r="L89" s="322"/>
      <c r="M89" s="278"/>
      <c r="N89" s="278"/>
      <c r="O89" s="278"/>
      <c r="P89" s="362"/>
    </row>
    <row r="90" spans="1:16" x14ac:dyDescent="0.25">
      <c r="A90" s="322"/>
      <c r="B90" s="322"/>
      <c r="C90" s="322"/>
      <c r="D90" s="322"/>
      <c r="E90" s="322"/>
      <c r="F90" s="322"/>
      <c r="G90" s="322"/>
      <c r="H90" s="322"/>
      <c r="I90" s="322"/>
      <c r="J90" s="322"/>
      <c r="K90" s="322"/>
      <c r="L90" s="322"/>
      <c r="M90" s="278"/>
      <c r="N90" s="278"/>
      <c r="O90" s="278"/>
      <c r="P90" s="362"/>
    </row>
    <row r="91" spans="1:16" ht="15.75" x14ac:dyDescent="0.25">
      <c r="A91" s="2" t="s">
        <v>18</v>
      </c>
      <c r="B91" s="2" t="s">
        <v>19</v>
      </c>
      <c r="C91" s="2"/>
      <c r="D91" s="2" t="s">
        <v>20</v>
      </c>
      <c r="E91" s="2" t="s">
        <v>21</v>
      </c>
      <c r="F91" s="2" t="s">
        <v>22</v>
      </c>
      <c r="G91" s="2" t="s">
        <v>23</v>
      </c>
      <c r="H91" s="2" t="s">
        <v>23</v>
      </c>
      <c r="I91" s="2" t="s">
        <v>24</v>
      </c>
      <c r="J91" s="2" t="s">
        <v>22</v>
      </c>
      <c r="K91" s="2" t="s">
        <v>24</v>
      </c>
      <c r="L91" s="2" t="s">
        <v>25</v>
      </c>
      <c r="M91" s="3" t="s">
        <v>25</v>
      </c>
      <c r="N91" s="3" t="s">
        <v>26</v>
      </c>
      <c r="O91" s="3" t="s">
        <v>27</v>
      </c>
      <c r="P91" s="2" t="s">
        <v>28</v>
      </c>
    </row>
    <row r="92" spans="1:16" ht="31.5" x14ac:dyDescent="0.25">
      <c r="A92" s="2">
        <v>1</v>
      </c>
      <c r="B92" s="4" t="s">
        <v>50</v>
      </c>
      <c r="C92" s="4" t="s">
        <v>48</v>
      </c>
      <c r="D92" s="2" t="s">
        <v>30</v>
      </c>
      <c r="E92" s="2">
        <v>2.2999999999999998</v>
      </c>
      <c r="F92" s="2">
        <v>67</v>
      </c>
      <c r="G92" s="5">
        <f>H92*100/F92</f>
        <v>89.552238805970148</v>
      </c>
      <c r="H92" s="2">
        <v>60</v>
      </c>
      <c r="I92" s="6">
        <f>1/(H92/(10*F92))</f>
        <v>11.166666666666668</v>
      </c>
      <c r="J92" s="2">
        <v>0</v>
      </c>
      <c r="K92" s="6">
        <f>I92-(I92/100*J92)</f>
        <v>11.166666666666668</v>
      </c>
      <c r="L92" s="7">
        <v>490</v>
      </c>
      <c r="M92" s="8">
        <f>L92*E92</f>
        <v>1127</v>
      </c>
      <c r="N92" s="9">
        <f>A92/K92</f>
        <v>8.9552238805970144E-2</v>
      </c>
      <c r="O92" s="8">
        <f>E92*N92</f>
        <v>0.20597014925373131</v>
      </c>
      <c r="P92" s="10">
        <f>O92*L92</f>
        <v>100.92537313432834</v>
      </c>
    </row>
    <row r="93" spans="1:16" ht="31.5" x14ac:dyDescent="0.25">
      <c r="A93" s="2">
        <v>1</v>
      </c>
      <c r="B93" s="4" t="s">
        <v>31</v>
      </c>
      <c r="C93" s="4" t="s">
        <v>32</v>
      </c>
      <c r="D93" s="11">
        <v>7037</v>
      </c>
      <c r="E93" s="2">
        <v>1.4</v>
      </c>
      <c r="F93" s="2">
        <v>63</v>
      </c>
      <c r="G93" s="5">
        <f>H93*100/F93</f>
        <v>95.238095238095241</v>
      </c>
      <c r="H93" s="2">
        <v>60</v>
      </c>
      <c r="I93" s="6">
        <f>1/(H93/(10*F93))</f>
        <v>10.5</v>
      </c>
      <c r="J93" s="2">
        <v>0</v>
      </c>
      <c r="K93" s="6">
        <f>I93-(I93/100*J93)</f>
        <v>10.5</v>
      </c>
      <c r="L93" s="7">
        <v>739</v>
      </c>
      <c r="M93" s="8">
        <f>L93*E93</f>
        <v>1034.5999999999999</v>
      </c>
      <c r="N93" s="9">
        <f>A93/K93</f>
        <v>9.5238095238095233E-2</v>
      </c>
      <c r="O93" s="9">
        <f>E93*N93</f>
        <v>0.1333333333333333</v>
      </c>
      <c r="P93" s="10">
        <f>O93*L93</f>
        <v>98.533333333333317</v>
      </c>
    </row>
    <row r="94" spans="1:16" ht="15.75" x14ac:dyDescent="0.25">
      <c r="A94" s="363" t="s">
        <v>33</v>
      </c>
      <c r="B94" s="363"/>
      <c r="C94" s="363"/>
      <c r="D94" s="363"/>
      <c r="E94" s="2">
        <v>0.9</v>
      </c>
      <c r="F94" s="363">
        <v>10</v>
      </c>
      <c r="G94" s="363"/>
      <c r="H94" s="363"/>
      <c r="I94" s="363"/>
      <c r="J94" s="2"/>
      <c r="K94" s="2"/>
      <c r="L94" s="4">
        <v>423</v>
      </c>
      <c r="M94" s="12">
        <v>423</v>
      </c>
      <c r="N94" s="13">
        <f>N92*(F94/100)</f>
        <v>8.9552238805970154E-3</v>
      </c>
      <c r="O94" s="9">
        <f>E94*N94</f>
        <v>8.0597014925373137E-3</v>
      </c>
      <c r="P94" s="10">
        <f>N94*L94</f>
        <v>3.7880597014925375</v>
      </c>
    </row>
    <row r="95" spans="1:16" ht="15.75" x14ac:dyDescent="0.25">
      <c r="A95" s="363" t="s">
        <v>34</v>
      </c>
      <c r="B95" s="363"/>
      <c r="C95" s="363"/>
      <c r="D95" s="363"/>
      <c r="E95" s="2">
        <v>0.9</v>
      </c>
      <c r="F95" s="363">
        <v>10</v>
      </c>
      <c r="G95" s="363"/>
      <c r="H95" s="363"/>
      <c r="I95" s="363"/>
      <c r="J95" s="2"/>
      <c r="K95" s="2"/>
      <c r="L95" s="4">
        <v>423</v>
      </c>
      <c r="M95" s="12">
        <v>423</v>
      </c>
      <c r="N95" s="13">
        <f>N93*(F95/100)</f>
        <v>9.5238095238095247E-3</v>
      </c>
      <c r="O95" s="9">
        <f>E95*N95</f>
        <v>8.5714285714285719E-3</v>
      </c>
      <c r="P95" s="10">
        <f>N95*L95</f>
        <v>4.0285714285714294</v>
      </c>
    </row>
    <row r="96" spans="1:16" ht="15.75" x14ac:dyDescent="0.25">
      <c r="A96" s="2"/>
      <c r="B96" s="363" t="s">
        <v>35</v>
      </c>
      <c r="C96" s="363"/>
      <c r="D96" s="363"/>
      <c r="E96" s="363"/>
      <c r="F96" s="363"/>
      <c r="G96" s="363"/>
      <c r="H96" s="2">
        <f>SUM(H92:H93)</f>
        <v>120</v>
      </c>
      <c r="I96" s="363"/>
      <c r="J96" s="363"/>
      <c r="K96" s="363"/>
      <c r="L96" s="363"/>
      <c r="M96" s="363"/>
      <c r="N96" s="363"/>
      <c r="O96" s="363"/>
      <c r="P96" s="10">
        <f>SUM(P92:P95)</f>
        <v>207.27533759772564</v>
      </c>
    </row>
    <row r="99" spans="1:16" x14ac:dyDescent="0.25">
      <c r="A99" s="390" t="s">
        <v>49</v>
      </c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</row>
    <row r="100" spans="1:16" ht="15.75" x14ac:dyDescent="0.25">
      <c r="A100" s="322" t="s">
        <v>0</v>
      </c>
      <c r="B100" s="322" t="s">
        <v>1</v>
      </c>
      <c r="C100" s="322" t="s">
        <v>2</v>
      </c>
      <c r="D100" s="322" t="s">
        <v>3</v>
      </c>
      <c r="E100" s="322" t="s">
        <v>4</v>
      </c>
      <c r="F100" s="322" t="s">
        <v>5</v>
      </c>
      <c r="G100" s="322" t="s">
        <v>6</v>
      </c>
      <c r="H100" s="322"/>
      <c r="I100" s="322" t="s">
        <v>7</v>
      </c>
      <c r="J100" s="322"/>
      <c r="K100" s="322"/>
      <c r="L100" s="322" t="s">
        <v>8</v>
      </c>
      <c r="M100" s="278" t="s">
        <v>9</v>
      </c>
      <c r="N100" s="278" t="s">
        <v>10</v>
      </c>
      <c r="O100" s="278" t="s">
        <v>11</v>
      </c>
      <c r="P100" s="362" t="s">
        <v>12</v>
      </c>
    </row>
    <row r="101" spans="1:16" x14ac:dyDescent="0.25">
      <c r="A101" s="322"/>
      <c r="B101" s="322"/>
      <c r="C101" s="322"/>
      <c r="D101" s="322"/>
      <c r="E101" s="322"/>
      <c r="F101" s="322"/>
      <c r="G101" s="322" t="s">
        <v>13</v>
      </c>
      <c r="H101" s="322" t="s">
        <v>14</v>
      </c>
      <c r="I101" s="322" t="s">
        <v>15</v>
      </c>
      <c r="J101" s="322" t="s">
        <v>16</v>
      </c>
      <c r="K101" s="322" t="s">
        <v>17</v>
      </c>
      <c r="L101" s="322"/>
      <c r="M101" s="278"/>
      <c r="N101" s="278"/>
      <c r="O101" s="278"/>
      <c r="P101" s="362"/>
    </row>
    <row r="102" spans="1:16" x14ac:dyDescent="0.25">
      <c r="A102" s="322"/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278"/>
      <c r="N102" s="278"/>
      <c r="O102" s="278"/>
      <c r="P102" s="362"/>
    </row>
    <row r="103" spans="1:16" ht="15.75" x14ac:dyDescent="0.25">
      <c r="A103" s="2" t="s">
        <v>18</v>
      </c>
      <c r="B103" s="2" t="s">
        <v>19</v>
      </c>
      <c r="C103" s="2"/>
      <c r="D103" s="2" t="s">
        <v>20</v>
      </c>
      <c r="E103" s="2" t="s">
        <v>21</v>
      </c>
      <c r="F103" s="2" t="s">
        <v>22</v>
      </c>
      <c r="G103" s="2" t="s">
        <v>23</v>
      </c>
      <c r="H103" s="2" t="s">
        <v>23</v>
      </c>
      <c r="I103" s="2" t="s">
        <v>24</v>
      </c>
      <c r="J103" s="2" t="s">
        <v>22</v>
      </c>
      <c r="K103" s="2" t="s">
        <v>24</v>
      </c>
      <c r="L103" s="2" t="s">
        <v>25</v>
      </c>
      <c r="M103" s="3" t="s">
        <v>25</v>
      </c>
      <c r="N103" s="3" t="s">
        <v>26</v>
      </c>
      <c r="O103" s="3" t="s">
        <v>27</v>
      </c>
      <c r="P103" s="2" t="s">
        <v>28</v>
      </c>
    </row>
    <row r="104" spans="1:16" ht="31.5" x14ac:dyDescent="0.25">
      <c r="A104" s="2">
        <v>1</v>
      </c>
      <c r="B104" s="4" t="s">
        <v>47</v>
      </c>
      <c r="C104" s="4" t="s">
        <v>48</v>
      </c>
      <c r="D104" s="2" t="s">
        <v>30</v>
      </c>
      <c r="E104" s="2">
        <v>1.6</v>
      </c>
      <c r="F104" s="2">
        <v>74</v>
      </c>
      <c r="G104" s="5">
        <f>H104*100/F104</f>
        <v>162.16216216216216</v>
      </c>
      <c r="H104" s="2">
        <v>120</v>
      </c>
      <c r="I104" s="6">
        <f>1/(H104/(10*F104))</f>
        <v>6.1666666666666661</v>
      </c>
      <c r="J104" s="2">
        <v>0</v>
      </c>
      <c r="K104" s="6">
        <f>I104-(I104/100*J104)</f>
        <v>6.1666666666666661</v>
      </c>
      <c r="L104" s="7">
        <v>490</v>
      </c>
      <c r="M104" s="8">
        <f>L104*E104</f>
        <v>784</v>
      </c>
      <c r="N104" s="9">
        <f>A104/K104</f>
        <v>0.16216216216216217</v>
      </c>
      <c r="O104" s="8">
        <f>E104*N104</f>
        <v>0.25945945945945947</v>
      </c>
      <c r="P104" s="10">
        <f>O104*L104</f>
        <v>127.13513513513514</v>
      </c>
    </row>
    <row r="105" spans="1:16" ht="31.5" x14ac:dyDescent="0.25">
      <c r="A105" s="2">
        <v>1</v>
      </c>
      <c r="B105" s="4" t="s">
        <v>31</v>
      </c>
      <c r="C105" s="4" t="s">
        <v>32</v>
      </c>
      <c r="D105" s="11">
        <v>7037</v>
      </c>
      <c r="E105" s="2">
        <v>1.4</v>
      </c>
      <c r="F105" s="2">
        <v>63</v>
      </c>
      <c r="G105" s="5">
        <f>H105*100/F105</f>
        <v>95.238095238095241</v>
      </c>
      <c r="H105" s="2">
        <v>60</v>
      </c>
      <c r="I105" s="6">
        <f>1/(H105/(10*F105))</f>
        <v>10.5</v>
      </c>
      <c r="J105" s="2">
        <v>0</v>
      </c>
      <c r="K105" s="6">
        <f>I105-(I105/100*J105)</f>
        <v>10.5</v>
      </c>
      <c r="L105" s="7">
        <v>739</v>
      </c>
      <c r="M105" s="8">
        <f>L105*E105</f>
        <v>1034.5999999999999</v>
      </c>
      <c r="N105" s="9">
        <f>A105/K105</f>
        <v>9.5238095238095233E-2</v>
      </c>
      <c r="O105" s="9">
        <f>E105*N105</f>
        <v>0.1333333333333333</v>
      </c>
      <c r="P105" s="10">
        <f>O105*L105</f>
        <v>98.533333333333317</v>
      </c>
    </row>
    <row r="106" spans="1:16" ht="15.75" x14ac:dyDescent="0.25">
      <c r="A106" s="363" t="s">
        <v>33</v>
      </c>
      <c r="B106" s="363"/>
      <c r="C106" s="363"/>
      <c r="D106" s="363"/>
      <c r="E106" s="2">
        <v>0.9</v>
      </c>
      <c r="F106" s="363">
        <v>10</v>
      </c>
      <c r="G106" s="363"/>
      <c r="H106" s="363"/>
      <c r="I106" s="363"/>
      <c r="J106" s="2"/>
      <c r="K106" s="2"/>
      <c r="L106" s="4">
        <v>423</v>
      </c>
      <c r="M106" s="12">
        <v>423</v>
      </c>
      <c r="N106" s="13">
        <f>N104*(F106/100)</f>
        <v>1.6216216216216217E-2</v>
      </c>
      <c r="O106" s="9">
        <f>E106*N106</f>
        <v>1.4594594594594596E-2</v>
      </c>
      <c r="P106" s="10">
        <f>N106*L106</f>
        <v>6.85945945945946</v>
      </c>
    </row>
    <row r="107" spans="1:16" ht="15.75" x14ac:dyDescent="0.25">
      <c r="A107" s="363" t="s">
        <v>34</v>
      </c>
      <c r="B107" s="363"/>
      <c r="C107" s="363"/>
      <c r="D107" s="363"/>
      <c r="E107" s="2">
        <v>0.9</v>
      </c>
      <c r="F107" s="363">
        <v>10</v>
      </c>
      <c r="G107" s="363"/>
      <c r="H107" s="363"/>
      <c r="I107" s="363"/>
      <c r="J107" s="2"/>
      <c r="K107" s="2"/>
      <c r="L107" s="4">
        <v>423</v>
      </c>
      <c r="M107" s="12">
        <v>423</v>
      </c>
      <c r="N107" s="13">
        <f>N105*(F107/100)</f>
        <v>9.5238095238095247E-3</v>
      </c>
      <c r="O107" s="9">
        <f>E107*N107</f>
        <v>8.5714285714285719E-3</v>
      </c>
      <c r="P107" s="10">
        <f>N107*L107</f>
        <v>4.0285714285714294</v>
      </c>
    </row>
    <row r="108" spans="1:16" ht="15.75" x14ac:dyDescent="0.25">
      <c r="A108" s="2"/>
      <c r="B108" s="363" t="s">
        <v>35</v>
      </c>
      <c r="C108" s="363"/>
      <c r="D108" s="363"/>
      <c r="E108" s="363"/>
      <c r="F108" s="363"/>
      <c r="G108" s="363"/>
      <c r="H108" s="2">
        <f>SUM(H104:H105)</f>
        <v>180</v>
      </c>
      <c r="I108" s="363"/>
      <c r="J108" s="363"/>
      <c r="K108" s="363"/>
      <c r="L108" s="363"/>
      <c r="M108" s="363"/>
      <c r="N108" s="363"/>
      <c r="O108" s="363"/>
      <c r="P108" s="10">
        <f>SUM(P104:P107)</f>
        <v>236.55649935649936</v>
      </c>
    </row>
    <row r="111" spans="1:16" x14ac:dyDescent="0.25">
      <c r="A111" s="390" t="s">
        <v>57</v>
      </c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</row>
    <row r="112" spans="1:16" ht="15.75" x14ac:dyDescent="0.25">
      <c r="A112" s="322" t="s">
        <v>0</v>
      </c>
      <c r="B112" s="322" t="s">
        <v>1</v>
      </c>
      <c r="C112" s="322" t="s">
        <v>2</v>
      </c>
      <c r="D112" s="322" t="s">
        <v>3</v>
      </c>
      <c r="E112" s="322" t="s">
        <v>4</v>
      </c>
      <c r="F112" s="322" t="s">
        <v>5</v>
      </c>
      <c r="G112" s="322" t="s">
        <v>6</v>
      </c>
      <c r="H112" s="322"/>
      <c r="I112" s="322" t="s">
        <v>7</v>
      </c>
      <c r="J112" s="322"/>
      <c r="K112" s="322"/>
      <c r="L112" s="322" t="s">
        <v>8</v>
      </c>
      <c r="M112" s="278" t="s">
        <v>9</v>
      </c>
      <c r="N112" s="278" t="s">
        <v>10</v>
      </c>
      <c r="O112" s="278" t="s">
        <v>11</v>
      </c>
      <c r="P112" s="362" t="s">
        <v>12</v>
      </c>
    </row>
    <row r="113" spans="1:16" x14ac:dyDescent="0.25">
      <c r="A113" s="322"/>
      <c r="B113" s="322"/>
      <c r="C113" s="322"/>
      <c r="D113" s="322"/>
      <c r="E113" s="322"/>
      <c r="F113" s="322"/>
      <c r="G113" s="322" t="s">
        <v>13</v>
      </c>
      <c r="H113" s="322" t="s">
        <v>14</v>
      </c>
      <c r="I113" s="322" t="s">
        <v>15</v>
      </c>
      <c r="J113" s="322" t="s">
        <v>16</v>
      </c>
      <c r="K113" s="322" t="s">
        <v>17</v>
      </c>
      <c r="L113" s="322"/>
      <c r="M113" s="278"/>
      <c r="N113" s="278"/>
      <c r="O113" s="278"/>
      <c r="P113" s="362"/>
    </row>
    <row r="114" spans="1:16" x14ac:dyDescent="0.25">
      <c r="A114" s="322"/>
      <c r="B114" s="322"/>
      <c r="C114" s="322"/>
      <c r="D114" s="322"/>
      <c r="E114" s="322"/>
      <c r="F114" s="322"/>
      <c r="G114" s="322"/>
      <c r="H114" s="322"/>
      <c r="I114" s="322"/>
      <c r="J114" s="322"/>
      <c r="K114" s="322"/>
      <c r="L114" s="322"/>
      <c r="M114" s="278"/>
      <c r="N114" s="278"/>
      <c r="O114" s="278"/>
      <c r="P114" s="362"/>
    </row>
    <row r="115" spans="1:16" ht="15.75" x14ac:dyDescent="0.25">
      <c r="A115" s="2" t="s">
        <v>18</v>
      </c>
      <c r="B115" s="2" t="s">
        <v>19</v>
      </c>
      <c r="C115" s="2"/>
      <c r="D115" s="2" t="s">
        <v>20</v>
      </c>
      <c r="E115" s="2" t="s">
        <v>21</v>
      </c>
      <c r="F115" s="2" t="s">
        <v>22</v>
      </c>
      <c r="G115" s="2" t="s">
        <v>23</v>
      </c>
      <c r="H115" s="2" t="s">
        <v>23</v>
      </c>
      <c r="I115" s="2" t="s">
        <v>24</v>
      </c>
      <c r="J115" s="2" t="s">
        <v>22</v>
      </c>
      <c r="K115" s="2" t="s">
        <v>24</v>
      </c>
      <c r="L115" s="2" t="s">
        <v>25</v>
      </c>
      <c r="M115" s="3" t="s">
        <v>25</v>
      </c>
      <c r="N115" s="3" t="s">
        <v>26</v>
      </c>
      <c r="O115" s="3" t="s">
        <v>27</v>
      </c>
      <c r="P115" s="2" t="s">
        <v>28</v>
      </c>
    </row>
    <row r="116" spans="1:16" ht="15.75" x14ac:dyDescent="0.25">
      <c r="A116" s="2">
        <v>1</v>
      </c>
      <c r="B116" s="4" t="s">
        <v>53</v>
      </c>
      <c r="C116" s="4" t="s">
        <v>55</v>
      </c>
      <c r="D116" s="2" t="s">
        <v>30</v>
      </c>
      <c r="E116" s="2">
        <v>2</v>
      </c>
      <c r="F116" s="2">
        <v>80</v>
      </c>
      <c r="G116" s="5">
        <f>H116*100/F116</f>
        <v>93.75</v>
      </c>
      <c r="H116" s="2">
        <v>75</v>
      </c>
      <c r="I116" s="6">
        <f>1/(H116/(10*F116))</f>
        <v>10.666666666666666</v>
      </c>
      <c r="J116" s="2">
        <v>0</v>
      </c>
      <c r="K116" s="6">
        <f>I116-(I116/100*J116)</f>
        <v>10.666666666666666</v>
      </c>
      <c r="L116" s="7"/>
      <c r="M116" s="8"/>
      <c r="N116" s="9">
        <f>A116/K116</f>
        <v>9.375E-2</v>
      </c>
      <c r="O116" s="8">
        <f>E116*N116</f>
        <v>0.1875</v>
      </c>
      <c r="P116" s="10">
        <f>O116*L116</f>
        <v>0</v>
      </c>
    </row>
    <row r="117" spans="1:16" ht="15.75" x14ac:dyDescent="0.25">
      <c r="A117" s="2">
        <v>1</v>
      </c>
      <c r="B117" s="4" t="s">
        <v>54</v>
      </c>
      <c r="C117" s="4" t="s">
        <v>56</v>
      </c>
      <c r="D117" s="11">
        <v>7037</v>
      </c>
      <c r="E117" s="2">
        <v>1.3</v>
      </c>
      <c r="F117" s="2">
        <v>43</v>
      </c>
      <c r="G117" s="5">
        <f>H117*100/F117</f>
        <v>139.53488372093022</v>
      </c>
      <c r="H117" s="2">
        <v>60</v>
      </c>
      <c r="I117" s="6">
        <f>1/(H117/(10*F117))</f>
        <v>7.166666666666667</v>
      </c>
      <c r="J117" s="2">
        <v>0</v>
      </c>
      <c r="K117" s="6">
        <f>I117-(I117/100*J117)</f>
        <v>7.166666666666667</v>
      </c>
      <c r="L117" s="7"/>
      <c r="M117" s="8"/>
      <c r="N117" s="9">
        <f>A117/K117</f>
        <v>0.13953488372093023</v>
      </c>
      <c r="O117" s="9">
        <f>E117*N117</f>
        <v>0.18139534883720931</v>
      </c>
      <c r="P117" s="10">
        <f>O117*L117</f>
        <v>0</v>
      </c>
    </row>
    <row r="118" spans="1:16" ht="15.75" x14ac:dyDescent="0.25">
      <c r="A118" s="363" t="s">
        <v>33</v>
      </c>
      <c r="B118" s="363"/>
      <c r="C118" s="363"/>
      <c r="D118" s="363"/>
      <c r="E118" s="2">
        <v>0.9</v>
      </c>
      <c r="F118" s="363">
        <v>10</v>
      </c>
      <c r="G118" s="363"/>
      <c r="H118" s="363"/>
      <c r="I118" s="363"/>
      <c r="J118" s="2"/>
      <c r="K118" s="2"/>
      <c r="L118" s="4"/>
      <c r="M118" s="12"/>
      <c r="N118" s="13">
        <f>N116*(F118/100)</f>
        <v>9.3750000000000014E-3</v>
      </c>
      <c r="O118" s="9">
        <f>E118*N118</f>
        <v>8.4375000000000023E-3</v>
      </c>
      <c r="P118" s="10">
        <f>N118*L118</f>
        <v>0</v>
      </c>
    </row>
    <row r="119" spans="1:16" ht="15.75" x14ac:dyDescent="0.25">
      <c r="A119" s="363" t="s">
        <v>34</v>
      </c>
      <c r="B119" s="363"/>
      <c r="C119" s="363"/>
      <c r="D119" s="363"/>
      <c r="E119" s="2">
        <v>0.9</v>
      </c>
      <c r="F119" s="363">
        <v>10</v>
      </c>
      <c r="G119" s="363"/>
      <c r="H119" s="363"/>
      <c r="I119" s="363"/>
      <c r="J119" s="2"/>
      <c r="K119" s="2"/>
      <c r="L119" s="4"/>
      <c r="M119" s="12"/>
      <c r="N119" s="13">
        <f>N117*(F119/100)</f>
        <v>1.3953488372093023E-2</v>
      </c>
      <c r="O119" s="9">
        <f>E119*N119</f>
        <v>1.2558139534883722E-2</v>
      </c>
      <c r="P119" s="10">
        <f>N119*L119</f>
        <v>0</v>
      </c>
    </row>
    <row r="120" spans="1:16" ht="15.75" x14ac:dyDescent="0.25">
      <c r="A120" s="2"/>
      <c r="B120" s="363" t="s">
        <v>35</v>
      </c>
      <c r="C120" s="363"/>
      <c r="D120" s="363"/>
      <c r="E120" s="363"/>
      <c r="F120" s="363"/>
      <c r="G120" s="363"/>
      <c r="H120" s="2">
        <f>SUM(H116:H117)</f>
        <v>135</v>
      </c>
      <c r="I120" s="363"/>
      <c r="J120" s="363"/>
      <c r="K120" s="363"/>
      <c r="L120" s="363"/>
      <c r="M120" s="363"/>
      <c r="N120" s="363"/>
      <c r="O120" s="363"/>
      <c r="P120" s="10">
        <f>SUM(P116:P119)</f>
        <v>0</v>
      </c>
    </row>
    <row r="124" spans="1:16" x14ac:dyDescent="0.25">
      <c r="A124" s="390" t="s">
        <v>49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</row>
    <row r="125" spans="1:16" ht="15.75" x14ac:dyDescent="0.25">
      <c r="A125" s="322" t="s">
        <v>0</v>
      </c>
      <c r="B125" s="322" t="s">
        <v>1</v>
      </c>
      <c r="C125" s="322" t="s">
        <v>2</v>
      </c>
      <c r="D125" s="322" t="s">
        <v>3</v>
      </c>
      <c r="E125" s="322" t="s">
        <v>4</v>
      </c>
      <c r="F125" s="322" t="s">
        <v>5</v>
      </c>
      <c r="G125" s="322" t="s">
        <v>6</v>
      </c>
      <c r="H125" s="322"/>
      <c r="I125" s="322" t="s">
        <v>7</v>
      </c>
      <c r="J125" s="322"/>
      <c r="K125" s="322"/>
      <c r="L125" s="322" t="s">
        <v>8</v>
      </c>
      <c r="M125" s="278" t="s">
        <v>9</v>
      </c>
      <c r="N125" s="278" t="s">
        <v>10</v>
      </c>
      <c r="O125" s="278" t="s">
        <v>11</v>
      </c>
      <c r="P125" s="362" t="s">
        <v>12</v>
      </c>
    </row>
    <row r="126" spans="1:16" x14ac:dyDescent="0.25">
      <c r="A126" s="322"/>
      <c r="B126" s="322"/>
      <c r="C126" s="322"/>
      <c r="D126" s="322"/>
      <c r="E126" s="322"/>
      <c r="F126" s="322"/>
      <c r="G126" s="322" t="s">
        <v>13</v>
      </c>
      <c r="H126" s="322" t="s">
        <v>14</v>
      </c>
      <c r="I126" s="322" t="s">
        <v>15</v>
      </c>
      <c r="J126" s="322" t="s">
        <v>16</v>
      </c>
      <c r="K126" s="322" t="s">
        <v>17</v>
      </c>
      <c r="L126" s="322"/>
      <c r="M126" s="278"/>
      <c r="N126" s="278"/>
      <c r="O126" s="278"/>
      <c r="P126" s="362"/>
    </row>
    <row r="127" spans="1:16" x14ac:dyDescent="0.25">
      <c r="A127" s="322"/>
      <c r="B127" s="322"/>
      <c r="C127" s="322"/>
      <c r="D127" s="322"/>
      <c r="E127" s="322"/>
      <c r="F127" s="322"/>
      <c r="G127" s="322"/>
      <c r="H127" s="322"/>
      <c r="I127" s="322"/>
      <c r="J127" s="322"/>
      <c r="K127" s="322"/>
      <c r="L127" s="322"/>
      <c r="M127" s="278"/>
      <c r="N127" s="278"/>
      <c r="O127" s="278"/>
      <c r="P127" s="362"/>
    </row>
    <row r="128" spans="1:16" ht="15.75" x14ac:dyDescent="0.25">
      <c r="A128" s="2" t="s">
        <v>18</v>
      </c>
      <c r="B128" s="2" t="s">
        <v>19</v>
      </c>
      <c r="C128" s="2"/>
      <c r="D128" s="2" t="s">
        <v>20</v>
      </c>
      <c r="E128" s="2" t="s">
        <v>21</v>
      </c>
      <c r="F128" s="2" t="s">
        <v>22</v>
      </c>
      <c r="G128" s="2" t="s">
        <v>23</v>
      </c>
      <c r="H128" s="2" t="s">
        <v>23</v>
      </c>
      <c r="I128" s="2" t="s">
        <v>24</v>
      </c>
      <c r="J128" s="2" t="s">
        <v>22</v>
      </c>
      <c r="K128" s="2" t="s">
        <v>24</v>
      </c>
      <c r="L128" s="2" t="s">
        <v>25</v>
      </c>
      <c r="M128" s="3" t="s">
        <v>25</v>
      </c>
      <c r="N128" s="3" t="s">
        <v>26</v>
      </c>
      <c r="O128" s="3" t="s">
        <v>27</v>
      </c>
      <c r="P128" s="2" t="s">
        <v>28</v>
      </c>
    </row>
    <row r="129" spans="1:16" ht="31.5" x14ac:dyDescent="0.25">
      <c r="A129" s="2">
        <v>1</v>
      </c>
      <c r="B129" s="4" t="s">
        <v>170</v>
      </c>
      <c r="C129" s="4" t="s">
        <v>48</v>
      </c>
      <c r="D129" s="2" t="s">
        <v>30</v>
      </c>
      <c r="E129" s="2">
        <v>1.6</v>
      </c>
      <c r="F129" s="2">
        <v>72</v>
      </c>
      <c r="G129" s="5">
        <f>H129*100/F129</f>
        <v>194.44444444444446</v>
      </c>
      <c r="H129" s="2">
        <v>140</v>
      </c>
      <c r="I129" s="6">
        <f>1/(H129/(10*F129))</f>
        <v>5.1428571428571423</v>
      </c>
      <c r="J129" s="2">
        <v>0</v>
      </c>
      <c r="K129" s="6">
        <f>I129-(I129/100*J129)</f>
        <v>5.1428571428571423</v>
      </c>
      <c r="L129" s="7">
        <v>490</v>
      </c>
      <c r="M129" s="8">
        <f>L129*E129</f>
        <v>784</v>
      </c>
      <c r="N129" s="9">
        <f>A129/K129</f>
        <v>0.19444444444444448</v>
      </c>
      <c r="O129" s="8">
        <f>E129*N129</f>
        <v>0.31111111111111117</v>
      </c>
      <c r="P129" s="10">
        <f>O129*L129</f>
        <v>152.44444444444449</v>
      </c>
    </row>
    <row r="130" spans="1:16" ht="15.75" x14ac:dyDescent="0.25">
      <c r="A130" s="2">
        <v>1</v>
      </c>
      <c r="B130" s="4" t="s">
        <v>171</v>
      </c>
      <c r="C130" s="4" t="s">
        <v>32</v>
      </c>
      <c r="D130" s="11">
        <v>7037</v>
      </c>
      <c r="E130" s="2">
        <v>1.6</v>
      </c>
      <c r="F130" s="2">
        <v>63</v>
      </c>
      <c r="G130" s="5">
        <f>H130*100/F130</f>
        <v>95.238095238095241</v>
      </c>
      <c r="H130" s="2">
        <v>60</v>
      </c>
      <c r="I130" s="6">
        <f>1/(H130/(10*F130))</f>
        <v>10.5</v>
      </c>
      <c r="J130" s="2">
        <v>0</v>
      </c>
      <c r="K130" s="6">
        <f>I130-(I130/100*J130)</f>
        <v>10.5</v>
      </c>
      <c r="L130" s="7">
        <v>739</v>
      </c>
      <c r="M130" s="8">
        <f>L130*E130</f>
        <v>1182.4000000000001</v>
      </c>
      <c r="N130" s="9">
        <f>A130/K130</f>
        <v>9.5238095238095233E-2</v>
      </c>
      <c r="O130" s="9">
        <f>E130*N130</f>
        <v>0.15238095238095239</v>
      </c>
      <c r="P130" s="10">
        <f>O130*L130</f>
        <v>112.60952380952382</v>
      </c>
    </row>
    <row r="131" spans="1:16" ht="15.75" x14ac:dyDescent="0.25">
      <c r="A131" s="363" t="s">
        <v>33</v>
      </c>
      <c r="B131" s="363"/>
      <c r="C131" s="363"/>
      <c r="D131" s="363"/>
      <c r="E131" s="2">
        <v>0.9</v>
      </c>
      <c r="F131" s="363">
        <v>10</v>
      </c>
      <c r="G131" s="363"/>
      <c r="H131" s="363"/>
      <c r="I131" s="363"/>
      <c r="J131" s="2"/>
      <c r="K131" s="2"/>
      <c r="L131" s="4">
        <v>423</v>
      </c>
      <c r="M131" s="12">
        <v>423</v>
      </c>
      <c r="N131" s="13">
        <f>N129*(F131/100)</f>
        <v>1.9444444444444448E-2</v>
      </c>
      <c r="O131" s="9">
        <f>E131*N131</f>
        <v>1.7500000000000005E-2</v>
      </c>
      <c r="P131" s="10">
        <f>N131*L131</f>
        <v>8.2250000000000014</v>
      </c>
    </row>
    <row r="132" spans="1:16" ht="15.75" x14ac:dyDescent="0.25">
      <c r="A132" s="363" t="s">
        <v>34</v>
      </c>
      <c r="B132" s="363"/>
      <c r="C132" s="363"/>
      <c r="D132" s="363"/>
      <c r="E132" s="2">
        <v>0.9</v>
      </c>
      <c r="F132" s="363">
        <v>10</v>
      </c>
      <c r="G132" s="363"/>
      <c r="H132" s="363"/>
      <c r="I132" s="363"/>
      <c r="J132" s="2"/>
      <c r="K132" s="2"/>
      <c r="L132" s="4">
        <v>423</v>
      </c>
      <c r="M132" s="12">
        <v>423</v>
      </c>
      <c r="N132" s="13">
        <f>N130*(F132/100)</f>
        <v>9.5238095238095247E-3</v>
      </c>
      <c r="O132" s="9">
        <f>E132*N132</f>
        <v>8.5714285714285719E-3</v>
      </c>
      <c r="P132" s="10">
        <f>N132*L132</f>
        <v>4.0285714285714294</v>
      </c>
    </row>
    <row r="133" spans="1:16" ht="15.75" x14ac:dyDescent="0.25">
      <c r="A133" s="2"/>
      <c r="B133" s="363" t="s">
        <v>35</v>
      </c>
      <c r="C133" s="363"/>
      <c r="D133" s="363"/>
      <c r="E133" s="363"/>
      <c r="F133" s="363"/>
      <c r="G133" s="363"/>
      <c r="H133" s="2">
        <f>SUM(H129:H130)</f>
        <v>200</v>
      </c>
      <c r="I133" s="363"/>
      <c r="J133" s="363"/>
      <c r="K133" s="363"/>
      <c r="L133" s="363"/>
      <c r="M133" s="363"/>
      <c r="N133" s="363"/>
      <c r="O133" s="363"/>
      <c r="P133" s="10">
        <f>SUM(P129:P132)</f>
        <v>277.30753968253975</v>
      </c>
    </row>
    <row r="136" spans="1:16" x14ac:dyDescent="0.25">
      <c r="A136" s="390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</row>
    <row r="137" spans="1:16" ht="15.75" x14ac:dyDescent="0.25">
      <c r="A137" s="322" t="s">
        <v>0</v>
      </c>
      <c r="B137" s="322" t="s">
        <v>1</v>
      </c>
      <c r="C137" s="322" t="s">
        <v>2</v>
      </c>
      <c r="D137" s="322" t="s">
        <v>3</v>
      </c>
      <c r="E137" s="322" t="s">
        <v>4</v>
      </c>
      <c r="F137" s="322" t="s">
        <v>5</v>
      </c>
      <c r="G137" s="322" t="s">
        <v>6</v>
      </c>
      <c r="H137" s="322"/>
      <c r="I137" s="322" t="s">
        <v>7</v>
      </c>
      <c r="J137" s="322"/>
      <c r="K137" s="322"/>
      <c r="L137" s="322" t="s">
        <v>8</v>
      </c>
      <c r="M137" s="278" t="s">
        <v>9</v>
      </c>
      <c r="N137" s="278" t="s">
        <v>10</v>
      </c>
      <c r="O137" s="278" t="s">
        <v>11</v>
      </c>
      <c r="P137" s="362" t="s">
        <v>12</v>
      </c>
    </row>
    <row r="138" spans="1:16" x14ac:dyDescent="0.25">
      <c r="A138" s="322"/>
      <c r="B138" s="322"/>
      <c r="C138" s="322"/>
      <c r="D138" s="322"/>
      <c r="E138" s="322"/>
      <c r="F138" s="322"/>
      <c r="G138" s="322" t="s">
        <v>13</v>
      </c>
      <c r="H138" s="322" t="s">
        <v>14</v>
      </c>
      <c r="I138" s="322" t="s">
        <v>15</v>
      </c>
      <c r="J138" s="322" t="s">
        <v>16</v>
      </c>
      <c r="K138" s="322" t="s">
        <v>17</v>
      </c>
      <c r="L138" s="322"/>
      <c r="M138" s="278"/>
      <c r="N138" s="278"/>
      <c r="O138" s="278"/>
      <c r="P138" s="362"/>
    </row>
    <row r="139" spans="1:16" x14ac:dyDescent="0.25">
      <c r="A139" s="322"/>
      <c r="B139" s="322"/>
      <c r="C139" s="322"/>
      <c r="D139" s="322"/>
      <c r="E139" s="322"/>
      <c r="F139" s="322"/>
      <c r="G139" s="322"/>
      <c r="H139" s="322"/>
      <c r="I139" s="322"/>
      <c r="J139" s="322"/>
      <c r="K139" s="322"/>
      <c r="L139" s="322"/>
      <c r="M139" s="278"/>
      <c r="N139" s="278"/>
      <c r="O139" s="278"/>
      <c r="P139" s="362"/>
    </row>
    <row r="140" spans="1:16" ht="15.75" x14ac:dyDescent="0.25">
      <c r="A140" s="2" t="s">
        <v>18</v>
      </c>
      <c r="B140" s="2" t="s">
        <v>19</v>
      </c>
      <c r="C140" s="2"/>
      <c r="D140" s="2" t="s">
        <v>20</v>
      </c>
      <c r="E140" s="2" t="s">
        <v>21</v>
      </c>
      <c r="F140" s="2" t="s">
        <v>22</v>
      </c>
      <c r="G140" s="2" t="s">
        <v>23</v>
      </c>
      <c r="H140" s="2" t="s">
        <v>23</v>
      </c>
      <c r="I140" s="2" t="s">
        <v>24</v>
      </c>
      <c r="J140" s="2" t="s">
        <v>22</v>
      </c>
      <c r="K140" s="2" t="s">
        <v>24</v>
      </c>
      <c r="L140" s="2" t="s">
        <v>25</v>
      </c>
      <c r="M140" s="3" t="s">
        <v>25</v>
      </c>
      <c r="N140" s="3" t="s">
        <v>26</v>
      </c>
      <c r="O140" s="3" t="s">
        <v>27</v>
      </c>
      <c r="P140" s="2" t="s">
        <v>28</v>
      </c>
    </row>
    <row r="141" spans="1:16" ht="15.75" x14ac:dyDescent="0.25">
      <c r="A141" s="2">
        <v>2000</v>
      </c>
      <c r="B141" s="4" t="s">
        <v>173</v>
      </c>
      <c r="C141" s="4" t="s">
        <v>172</v>
      </c>
      <c r="D141" s="2">
        <v>70037</v>
      </c>
      <c r="E141" s="2">
        <v>1.2</v>
      </c>
      <c r="F141" s="2">
        <v>49</v>
      </c>
      <c r="G141" s="5">
        <f>H141*100/F141</f>
        <v>81.632653061224488</v>
      </c>
      <c r="H141" s="2">
        <v>40</v>
      </c>
      <c r="I141" s="6">
        <f>1/(H141/(10*F141))</f>
        <v>12.250000000000002</v>
      </c>
      <c r="J141" s="2">
        <v>0</v>
      </c>
      <c r="K141" s="6">
        <f>I141-(I141/100*J141)</f>
        <v>12.250000000000002</v>
      </c>
      <c r="L141" s="7">
        <f>M141/E141</f>
        <v>741.66666666666674</v>
      </c>
      <c r="M141" s="8">
        <v>890</v>
      </c>
      <c r="N141" s="9">
        <f>A141/K141</f>
        <v>163.26530612244895</v>
      </c>
      <c r="O141" s="8">
        <f>E141*N141</f>
        <v>195.91836734693874</v>
      </c>
      <c r="P141" s="10">
        <f>N141*M141</f>
        <v>145306.12244897956</v>
      </c>
    </row>
    <row r="142" spans="1:16" ht="15.75" x14ac:dyDescent="0.25">
      <c r="A142" s="2">
        <v>2000</v>
      </c>
      <c r="B142" s="4" t="s">
        <v>173</v>
      </c>
      <c r="C142" s="4" t="s">
        <v>172</v>
      </c>
      <c r="D142" s="11">
        <v>7037</v>
      </c>
      <c r="E142" s="2">
        <v>1.2</v>
      </c>
      <c r="F142" s="2">
        <v>49</v>
      </c>
      <c r="G142" s="5">
        <f>H142*100/F142</f>
        <v>142.85714285714286</v>
      </c>
      <c r="H142" s="2">
        <v>70</v>
      </c>
      <c r="I142" s="6">
        <f>1/(H142/(10*F142))</f>
        <v>7</v>
      </c>
      <c r="J142" s="2">
        <v>0</v>
      </c>
      <c r="K142" s="6">
        <f>I142-(I142/100*J142)</f>
        <v>7</v>
      </c>
      <c r="L142" s="7">
        <f>M142/E142</f>
        <v>741.66666666666674</v>
      </c>
      <c r="M142" s="8">
        <v>890</v>
      </c>
      <c r="N142" s="9">
        <f>A142/K142</f>
        <v>285.71428571428572</v>
      </c>
      <c r="O142" s="9">
        <f>E142*N142</f>
        <v>342.85714285714283</v>
      </c>
      <c r="P142" s="10">
        <f t="shared" ref="P142:P144" si="0">N142*M142</f>
        <v>254285.71428571429</v>
      </c>
    </row>
    <row r="143" spans="1:16" ht="15.75" x14ac:dyDescent="0.25">
      <c r="A143" s="363" t="s">
        <v>33</v>
      </c>
      <c r="B143" s="363"/>
      <c r="C143" s="363"/>
      <c r="D143" s="363"/>
      <c r="E143" s="2">
        <v>0.9</v>
      </c>
      <c r="F143" s="363">
        <v>20</v>
      </c>
      <c r="G143" s="363"/>
      <c r="H143" s="363"/>
      <c r="I143" s="363"/>
      <c r="J143" s="2"/>
      <c r="K143" s="2"/>
      <c r="L143" s="7">
        <f>M143/E143</f>
        <v>422.22222222222223</v>
      </c>
      <c r="M143" s="12">
        <v>380</v>
      </c>
      <c r="N143" s="13">
        <f>N141*(F143/100)</f>
        <v>32.65306122448979</v>
      </c>
      <c r="O143" s="9">
        <f>E143*N143</f>
        <v>29.38775510204081</v>
      </c>
      <c r="P143" s="10">
        <f t="shared" si="0"/>
        <v>12408.163265306121</v>
      </c>
    </row>
    <row r="144" spans="1:16" ht="15.75" customHeight="1" x14ac:dyDescent="0.25">
      <c r="A144" s="363" t="s">
        <v>33</v>
      </c>
      <c r="B144" s="363"/>
      <c r="C144" s="363"/>
      <c r="D144" s="363"/>
      <c r="E144" s="2">
        <v>0.9</v>
      </c>
      <c r="F144" s="363">
        <v>10</v>
      </c>
      <c r="G144" s="363"/>
      <c r="H144" s="363"/>
      <c r="I144" s="363"/>
      <c r="J144" s="2"/>
      <c r="K144" s="2"/>
      <c r="L144" s="7">
        <f>M144/E144</f>
        <v>422.22222222222223</v>
      </c>
      <c r="M144" s="12">
        <v>380</v>
      </c>
      <c r="N144" s="13">
        <f>N142*(F144/100)</f>
        <v>28.571428571428573</v>
      </c>
      <c r="O144" s="9">
        <f>E144*N144</f>
        <v>25.714285714285715</v>
      </c>
      <c r="P144" s="10">
        <f t="shared" si="0"/>
        <v>10857.142857142857</v>
      </c>
    </row>
    <row r="145" spans="1:16" ht="15.75" x14ac:dyDescent="0.25">
      <c r="A145" s="2"/>
      <c r="B145" s="363" t="s">
        <v>35</v>
      </c>
      <c r="C145" s="363"/>
      <c r="D145" s="363"/>
      <c r="E145" s="363"/>
      <c r="F145" s="363"/>
      <c r="G145" s="363"/>
      <c r="H145" s="2">
        <f>SUM(H141:H142)</f>
        <v>110</v>
      </c>
      <c r="I145" s="363"/>
      <c r="J145" s="363"/>
      <c r="K145" s="363"/>
      <c r="L145" s="363"/>
      <c r="M145" s="363"/>
      <c r="N145" s="363"/>
      <c r="O145" s="363"/>
      <c r="P145" s="10">
        <f>SUM(P141:P144)</f>
        <v>422857.14285714278</v>
      </c>
    </row>
    <row r="149" spans="1:16" ht="15.75" x14ac:dyDescent="0.25">
      <c r="A149" s="322" t="s">
        <v>0</v>
      </c>
      <c r="B149" s="322" t="s">
        <v>1</v>
      </c>
      <c r="C149" s="322" t="s">
        <v>2</v>
      </c>
      <c r="D149" s="322" t="s">
        <v>3</v>
      </c>
      <c r="E149" s="322" t="s">
        <v>4</v>
      </c>
      <c r="F149" s="322" t="s">
        <v>5</v>
      </c>
      <c r="G149" s="322" t="s">
        <v>6</v>
      </c>
      <c r="H149" s="322"/>
      <c r="I149" s="322" t="s">
        <v>7</v>
      </c>
      <c r="J149" s="322"/>
      <c r="K149" s="322"/>
      <c r="L149" s="322" t="s">
        <v>8</v>
      </c>
      <c r="M149" s="278" t="s">
        <v>9</v>
      </c>
      <c r="N149" s="278" t="s">
        <v>10</v>
      </c>
      <c r="O149" s="278" t="s">
        <v>11</v>
      </c>
      <c r="P149" s="362" t="s">
        <v>12</v>
      </c>
    </row>
    <row r="150" spans="1:16" x14ac:dyDescent="0.25">
      <c r="A150" s="322"/>
      <c r="B150" s="322"/>
      <c r="C150" s="322"/>
      <c r="D150" s="322"/>
      <c r="E150" s="322"/>
      <c r="F150" s="322"/>
      <c r="G150" s="322" t="s">
        <v>13</v>
      </c>
      <c r="H150" s="322" t="s">
        <v>14</v>
      </c>
      <c r="I150" s="322" t="s">
        <v>15</v>
      </c>
      <c r="J150" s="322" t="s">
        <v>16</v>
      </c>
      <c r="K150" s="322" t="s">
        <v>17</v>
      </c>
      <c r="L150" s="322"/>
      <c r="M150" s="278"/>
      <c r="N150" s="278"/>
      <c r="O150" s="278"/>
      <c r="P150" s="362"/>
    </row>
    <row r="151" spans="1:16" x14ac:dyDescent="0.25">
      <c r="A151" s="322"/>
      <c r="B151" s="322"/>
      <c r="C151" s="322"/>
      <c r="D151" s="322"/>
      <c r="E151" s="322"/>
      <c r="F151" s="322"/>
      <c r="G151" s="322"/>
      <c r="H151" s="322"/>
      <c r="I151" s="322"/>
      <c r="J151" s="322"/>
      <c r="K151" s="322"/>
      <c r="L151" s="322"/>
      <c r="M151" s="278"/>
      <c r="N151" s="278"/>
      <c r="O151" s="278"/>
      <c r="P151" s="362"/>
    </row>
    <row r="152" spans="1:16" ht="15.75" x14ac:dyDescent="0.25">
      <c r="A152" s="2" t="s">
        <v>18</v>
      </c>
      <c r="B152" s="2" t="s">
        <v>19</v>
      </c>
      <c r="C152" s="2"/>
      <c r="D152" s="2" t="s">
        <v>20</v>
      </c>
      <c r="E152" s="2" t="s">
        <v>21</v>
      </c>
      <c r="F152" s="2" t="s">
        <v>22</v>
      </c>
      <c r="G152" s="2" t="s">
        <v>23</v>
      </c>
      <c r="H152" s="2" t="s">
        <v>23</v>
      </c>
      <c r="I152" s="2" t="s">
        <v>24</v>
      </c>
      <c r="J152" s="2" t="s">
        <v>22</v>
      </c>
      <c r="K152" s="2" t="s">
        <v>24</v>
      </c>
      <c r="L152" s="2" t="s">
        <v>25</v>
      </c>
      <c r="M152" s="3" t="s">
        <v>25</v>
      </c>
      <c r="N152" s="3" t="s">
        <v>26</v>
      </c>
      <c r="O152" s="3" t="s">
        <v>27</v>
      </c>
      <c r="P152" s="2" t="s">
        <v>28</v>
      </c>
    </row>
    <row r="153" spans="1:16" ht="15.75" x14ac:dyDescent="0.25">
      <c r="A153" s="2">
        <v>2000</v>
      </c>
      <c r="B153" s="4" t="s">
        <v>123</v>
      </c>
      <c r="C153" s="4" t="s">
        <v>174</v>
      </c>
      <c r="D153" s="2" t="s">
        <v>30</v>
      </c>
      <c r="E153" s="2">
        <v>1.6</v>
      </c>
      <c r="F153" s="2">
        <v>74</v>
      </c>
      <c r="G153" s="5">
        <f>H153*100/F153</f>
        <v>54.054054054054056</v>
      </c>
      <c r="H153" s="2">
        <v>40</v>
      </c>
      <c r="I153" s="6">
        <f>1/(H153/(10*F153))</f>
        <v>18.5</v>
      </c>
      <c r="J153" s="2">
        <v>0</v>
      </c>
      <c r="K153" s="6">
        <f>I153-(I153/100*J153)</f>
        <v>18.5</v>
      </c>
      <c r="L153" s="7">
        <f>M153/E153</f>
        <v>568.75</v>
      </c>
      <c r="M153" s="8">
        <v>910</v>
      </c>
      <c r="N153" s="9">
        <f>A153/K153</f>
        <v>108.10810810810811</v>
      </c>
      <c r="O153" s="8">
        <f>E153*N153</f>
        <v>172.972972972973</v>
      </c>
      <c r="P153" s="10">
        <f>N153*M153</f>
        <v>98378.378378378387</v>
      </c>
    </row>
    <row r="154" spans="1:16" ht="15.75" x14ac:dyDescent="0.25">
      <c r="A154" s="2">
        <v>2000</v>
      </c>
      <c r="B154" s="4" t="s">
        <v>123</v>
      </c>
      <c r="C154" s="4" t="s">
        <v>174</v>
      </c>
      <c r="D154" s="11" t="s">
        <v>30</v>
      </c>
      <c r="E154" s="2">
        <v>1.6</v>
      </c>
      <c r="F154" s="2">
        <v>74</v>
      </c>
      <c r="G154" s="5">
        <f>H154*100/F154</f>
        <v>94.594594594594597</v>
      </c>
      <c r="H154" s="2">
        <v>70</v>
      </c>
      <c r="I154" s="6">
        <f>1/(H154/(10*F154))</f>
        <v>10.571428571428571</v>
      </c>
      <c r="J154" s="2">
        <v>0</v>
      </c>
      <c r="K154" s="6">
        <f>I154-(I154/100*J154)</f>
        <v>10.571428571428571</v>
      </c>
      <c r="L154" s="7">
        <f t="shared" ref="L154:L156" si="1">M154/E154</f>
        <v>568.75</v>
      </c>
      <c r="M154" s="8">
        <v>910</v>
      </c>
      <c r="N154" s="9">
        <f>A154/K154</f>
        <v>189.18918918918919</v>
      </c>
      <c r="O154" s="9">
        <f>E154*N154</f>
        <v>302.70270270270271</v>
      </c>
      <c r="P154" s="10">
        <f t="shared" ref="P154:P156" si="2">N154*M154</f>
        <v>172162.16216216216</v>
      </c>
    </row>
    <row r="155" spans="1:16" ht="15.75" x14ac:dyDescent="0.25">
      <c r="A155" s="363" t="s">
        <v>33</v>
      </c>
      <c r="B155" s="363"/>
      <c r="C155" s="363"/>
      <c r="D155" s="363"/>
      <c r="E155" s="2">
        <v>0.9</v>
      </c>
      <c r="F155" s="363">
        <v>20</v>
      </c>
      <c r="G155" s="363"/>
      <c r="H155" s="363"/>
      <c r="I155" s="363"/>
      <c r="J155" s="2"/>
      <c r="K155" s="2"/>
      <c r="L155" s="7">
        <f t="shared" si="1"/>
        <v>444.44444444444446</v>
      </c>
      <c r="M155" s="12">
        <v>400</v>
      </c>
      <c r="N155" s="13">
        <f>N153*(F155/100)</f>
        <v>21.621621621621625</v>
      </c>
      <c r="O155" s="9">
        <f>E155*N155</f>
        <v>19.459459459459463</v>
      </c>
      <c r="P155" s="10">
        <f t="shared" si="2"/>
        <v>8648.6486486486501</v>
      </c>
    </row>
    <row r="156" spans="1:16" ht="15.75" customHeight="1" x14ac:dyDescent="0.25">
      <c r="A156" s="363" t="s">
        <v>33</v>
      </c>
      <c r="B156" s="363"/>
      <c r="C156" s="363"/>
      <c r="D156" s="363"/>
      <c r="E156" s="2">
        <v>0.9</v>
      </c>
      <c r="F156" s="363">
        <v>10</v>
      </c>
      <c r="G156" s="363"/>
      <c r="H156" s="363"/>
      <c r="I156" s="363"/>
      <c r="J156" s="2"/>
      <c r="K156" s="2"/>
      <c r="L156" s="7">
        <f t="shared" si="1"/>
        <v>444.44444444444446</v>
      </c>
      <c r="M156" s="12">
        <v>400</v>
      </c>
      <c r="N156" s="13">
        <f>N154*(F156/100)</f>
        <v>18.918918918918919</v>
      </c>
      <c r="O156" s="9">
        <f>E156*N156</f>
        <v>17.027027027027028</v>
      </c>
      <c r="P156" s="10">
        <f t="shared" si="2"/>
        <v>7567.5675675675675</v>
      </c>
    </row>
    <row r="157" spans="1:16" ht="15.75" x14ac:dyDescent="0.25">
      <c r="A157" s="2"/>
      <c r="B157" s="363" t="s">
        <v>35</v>
      </c>
      <c r="C157" s="363"/>
      <c r="D157" s="363"/>
      <c r="E157" s="363"/>
      <c r="F157" s="363"/>
      <c r="G157" s="363"/>
      <c r="H157" s="2">
        <f>SUM(H153:H154)</f>
        <v>110</v>
      </c>
      <c r="I157" s="363"/>
      <c r="J157" s="363"/>
      <c r="K157" s="363"/>
      <c r="L157" s="363"/>
      <c r="M157" s="363"/>
      <c r="N157" s="363"/>
      <c r="O157" s="363"/>
      <c r="P157" s="10">
        <f>SUM(P153:P156)</f>
        <v>286756.75675675675</v>
      </c>
    </row>
    <row r="158" spans="1:16" x14ac:dyDescent="0.25">
      <c r="A158" s="381" t="s">
        <v>175</v>
      </c>
      <c r="B158" s="382"/>
      <c r="C158" s="382"/>
      <c r="D158" s="382"/>
      <c r="E158" s="382"/>
      <c r="F158" s="382"/>
      <c r="G158" s="382"/>
      <c r="H158" s="382"/>
      <c r="I158" s="382"/>
      <c r="J158" s="382"/>
      <c r="K158" s="382"/>
      <c r="L158" s="382"/>
      <c r="M158" s="382"/>
      <c r="N158" s="382"/>
      <c r="O158" s="382"/>
      <c r="P158" s="383"/>
    </row>
    <row r="159" spans="1:16" x14ac:dyDescent="0.25">
      <c r="A159" s="384"/>
      <c r="B159" s="385"/>
      <c r="C159" s="385"/>
      <c r="D159" s="385"/>
      <c r="E159" s="385"/>
      <c r="F159" s="385"/>
      <c r="G159" s="385"/>
      <c r="H159" s="385"/>
      <c r="I159" s="385"/>
      <c r="J159" s="385"/>
      <c r="K159" s="385"/>
      <c r="L159" s="385"/>
      <c r="M159" s="385"/>
      <c r="N159" s="385"/>
      <c r="O159" s="385"/>
      <c r="P159" s="386"/>
    </row>
    <row r="160" spans="1:16" x14ac:dyDescent="0.25">
      <c r="A160" s="387"/>
      <c r="B160" s="388"/>
      <c r="C160" s="388"/>
      <c r="D160" s="388"/>
      <c r="E160" s="388"/>
      <c r="F160" s="388"/>
      <c r="G160" s="388"/>
      <c r="H160" s="388"/>
      <c r="I160" s="388"/>
      <c r="J160" s="388"/>
      <c r="K160" s="388"/>
      <c r="L160" s="388"/>
      <c r="M160" s="388"/>
      <c r="N160" s="388"/>
      <c r="O160" s="388"/>
      <c r="P160" s="389"/>
    </row>
    <row r="163" spans="1:16" ht="15.75" x14ac:dyDescent="0.25">
      <c r="A163" s="392"/>
      <c r="B163" s="392"/>
      <c r="C163" s="392"/>
      <c r="D163" s="392"/>
      <c r="E163" s="392"/>
      <c r="F163" s="392"/>
      <c r="G163" s="392"/>
      <c r="H163" s="392"/>
      <c r="I163" s="392"/>
      <c r="J163" s="392"/>
      <c r="K163" s="392"/>
      <c r="L163" s="392"/>
      <c r="M163" s="392"/>
      <c r="N163" s="392"/>
      <c r="O163" s="392"/>
      <c r="P163" s="392"/>
    </row>
    <row r="164" spans="1:16" ht="15.75" x14ac:dyDescent="0.25">
      <c r="A164" s="326" t="s">
        <v>0</v>
      </c>
      <c r="B164" s="326" t="s">
        <v>1</v>
      </c>
      <c r="C164" s="326" t="s">
        <v>2</v>
      </c>
      <c r="D164" s="326" t="s">
        <v>3</v>
      </c>
      <c r="E164" s="326" t="s">
        <v>4</v>
      </c>
      <c r="F164" s="326" t="s">
        <v>5</v>
      </c>
      <c r="G164" s="329" t="s">
        <v>6</v>
      </c>
      <c r="H164" s="330"/>
      <c r="I164" s="329" t="s">
        <v>7</v>
      </c>
      <c r="J164" s="331"/>
      <c r="K164" s="330"/>
      <c r="L164" s="326" t="s">
        <v>8</v>
      </c>
      <c r="M164" s="332" t="s">
        <v>9</v>
      </c>
      <c r="N164" s="332" t="s">
        <v>10</v>
      </c>
      <c r="O164" s="332" t="s">
        <v>10</v>
      </c>
      <c r="P164" s="319" t="s">
        <v>12</v>
      </c>
    </row>
    <row r="165" spans="1:16" x14ac:dyDescent="0.25">
      <c r="A165" s="327"/>
      <c r="B165" s="327"/>
      <c r="C165" s="327"/>
      <c r="D165" s="327"/>
      <c r="E165" s="327"/>
      <c r="F165" s="327"/>
      <c r="G165" s="326" t="s">
        <v>13</v>
      </c>
      <c r="H165" s="326" t="s">
        <v>14</v>
      </c>
      <c r="I165" s="326" t="s">
        <v>15</v>
      </c>
      <c r="J165" s="326" t="s">
        <v>16</v>
      </c>
      <c r="K165" s="326" t="s">
        <v>17</v>
      </c>
      <c r="L165" s="327"/>
      <c r="M165" s="333"/>
      <c r="N165" s="333"/>
      <c r="O165" s="333"/>
      <c r="P165" s="320"/>
    </row>
    <row r="166" spans="1:16" x14ac:dyDescent="0.25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34"/>
      <c r="N166" s="334"/>
      <c r="O166" s="334"/>
      <c r="P166" s="321"/>
    </row>
    <row r="167" spans="1:16" ht="15.75" x14ac:dyDescent="0.25">
      <c r="A167" s="2" t="s">
        <v>18</v>
      </c>
      <c r="B167" s="2" t="s">
        <v>19</v>
      </c>
      <c r="C167" s="2"/>
      <c r="D167" s="2" t="s">
        <v>20</v>
      </c>
      <c r="E167" s="2" t="s">
        <v>21</v>
      </c>
      <c r="F167" s="2" t="s">
        <v>22</v>
      </c>
      <c r="G167" s="2" t="s">
        <v>23</v>
      </c>
      <c r="H167" s="2" t="s">
        <v>23</v>
      </c>
      <c r="I167" s="2" t="s">
        <v>24</v>
      </c>
      <c r="J167" s="2" t="s">
        <v>22</v>
      </c>
      <c r="K167" s="2" t="s">
        <v>24</v>
      </c>
      <c r="L167" s="2" t="s">
        <v>25</v>
      </c>
      <c r="M167" s="3" t="s">
        <v>25</v>
      </c>
      <c r="N167" s="3" t="s">
        <v>26</v>
      </c>
      <c r="O167" s="3" t="s">
        <v>27</v>
      </c>
      <c r="P167" s="2" t="s">
        <v>28</v>
      </c>
    </row>
    <row r="168" spans="1:16" ht="31.5" x14ac:dyDescent="0.25">
      <c r="A168" s="2">
        <v>515</v>
      </c>
      <c r="B168" s="4" t="s">
        <v>181</v>
      </c>
      <c r="C168" s="4" t="s">
        <v>29</v>
      </c>
      <c r="D168" s="2">
        <v>7036</v>
      </c>
      <c r="E168" s="2">
        <v>1.4</v>
      </c>
      <c r="F168" s="2">
        <v>72</v>
      </c>
      <c r="G168" s="5">
        <f>H168*100/F168</f>
        <v>173.61111111111111</v>
      </c>
      <c r="H168" s="2">
        <v>125</v>
      </c>
      <c r="I168" s="6">
        <f>1/(H168/(10*F168))</f>
        <v>5.76</v>
      </c>
      <c r="J168" s="2">
        <v>20</v>
      </c>
      <c r="K168" s="6">
        <f>I168-(I168/100*J168)</f>
        <v>4.6079999999999997</v>
      </c>
      <c r="L168" s="7">
        <f>M168/E168</f>
        <v>791.42857142857144</v>
      </c>
      <c r="M168" s="8">
        <v>1108</v>
      </c>
      <c r="N168" s="9">
        <f>A168/K168</f>
        <v>111.76215277777779</v>
      </c>
      <c r="O168" s="8">
        <f>E168*N168</f>
        <v>156.46701388888889</v>
      </c>
      <c r="P168" s="10">
        <f>N168*M168</f>
        <v>123832.46527777778</v>
      </c>
    </row>
    <row r="169" spans="1:16" ht="31.5" x14ac:dyDescent="0.25">
      <c r="A169" s="2">
        <v>515</v>
      </c>
      <c r="B169" s="4" t="s">
        <v>181</v>
      </c>
      <c r="C169" s="4" t="s">
        <v>29</v>
      </c>
      <c r="D169" s="2">
        <v>7036</v>
      </c>
      <c r="E169" s="2">
        <v>1.4</v>
      </c>
      <c r="F169" s="2">
        <v>72</v>
      </c>
      <c r="G169" s="5">
        <f>H169*100/F169</f>
        <v>173.61111111111111</v>
      </c>
      <c r="H169" s="2">
        <v>125</v>
      </c>
      <c r="I169" s="6">
        <f>1/(H169/(10*F169))</f>
        <v>5.76</v>
      </c>
      <c r="J169" s="2">
        <v>20</v>
      </c>
      <c r="K169" s="6">
        <f>I169-(I169/100*J169)</f>
        <v>4.6079999999999997</v>
      </c>
      <c r="L169" s="7">
        <f>M169/E169</f>
        <v>791.42857142857144</v>
      </c>
      <c r="M169" s="8">
        <v>1108</v>
      </c>
      <c r="N169" s="9">
        <f>A169/K169</f>
        <v>111.76215277777779</v>
      </c>
      <c r="O169" s="8">
        <f>E169*N169</f>
        <v>156.46701388888889</v>
      </c>
      <c r="P169" s="10">
        <f>N169*M169</f>
        <v>123832.46527777778</v>
      </c>
    </row>
    <row r="170" spans="1:16" ht="15.75" hidden="1" x14ac:dyDescent="0.25">
      <c r="A170" s="283" t="s">
        <v>33</v>
      </c>
      <c r="B170" s="284"/>
      <c r="C170" s="284"/>
      <c r="D170" s="285"/>
      <c r="E170" s="2">
        <v>0.9</v>
      </c>
      <c r="F170" s="283">
        <v>5</v>
      </c>
      <c r="G170" s="284"/>
      <c r="H170" s="284"/>
      <c r="I170" s="285"/>
      <c r="J170" s="2"/>
      <c r="K170" s="2"/>
      <c r="L170" s="4">
        <v>0</v>
      </c>
      <c r="M170" s="12">
        <v>0</v>
      </c>
      <c r="N170" s="13">
        <f>N169*(F170/100)</f>
        <v>5.5881076388888893</v>
      </c>
      <c r="O170" s="9">
        <f>E170*N170</f>
        <v>5.0292968750000009</v>
      </c>
      <c r="P170" s="10">
        <f>N170*L170</f>
        <v>0</v>
      </c>
    </row>
    <row r="171" spans="1:16" ht="15.75" x14ac:dyDescent="0.25">
      <c r="A171" s="2"/>
      <c r="B171" s="283" t="s">
        <v>35</v>
      </c>
      <c r="C171" s="284"/>
      <c r="D171" s="284"/>
      <c r="E171" s="284"/>
      <c r="F171" s="284"/>
      <c r="G171" s="285"/>
      <c r="H171" s="2">
        <f>SUM(H168:H169)</f>
        <v>250</v>
      </c>
      <c r="I171" s="283"/>
      <c r="J171" s="284"/>
      <c r="K171" s="284"/>
      <c r="L171" s="284"/>
      <c r="M171" s="284"/>
      <c r="N171" s="284"/>
      <c r="O171" s="285"/>
      <c r="P171" s="10">
        <f>SUM(P168:P170)</f>
        <v>247664.93055555556</v>
      </c>
    </row>
    <row r="174" spans="1:16" ht="15.75" x14ac:dyDescent="0.25">
      <c r="A174" s="326" t="s">
        <v>0</v>
      </c>
      <c r="B174" s="326" t="s">
        <v>1</v>
      </c>
      <c r="C174" s="326" t="s">
        <v>2</v>
      </c>
      <c r="D174" s="326" t="s">
        <v>3</v>
      </c>
      <c r="E174" s="326" t="s">
        <v>4</v>
      </c>
      <c r="F174" s="326" t="s">
        <v>5</v>
      </c>
      <c r="G174" s="329" t="s">
        <v>6</v>
      </c>
      <c r="H174" s="330"/>
      <c r="I174" s="329" t="s">
        <v>7</v>
      </c>
      <c r="J174" s="331"/>
      <c r="K174" s="330"/>
      <c r="L174" s="326" t="s">
        <v>8</v>
      </c>
      <c r="M174" s="332" t="s">
        <v>9</v>
      </c>
      <c r="N174" s="332" t="s">
        <v>10</v>
      </c>
      <c r="O174" s="332" t="s">
        <v>10</v>
      </c>
      <c r="P174" s="319" t="s">
        <v>12</v>
      </c>
    </row>
    <row r="175" spans="1:16" x14ac:dyDescent="0.25">
      <c r="A175" s="327"/>
      <c r="B175" s="327"/>
      <c r="C175" s="327"/>
      <c r="D175" s="327"/>
      <c r="E175" s="327"/>
      <c r="F175" s="327"/>
      <c r="G175" s="326" t="s">
        <v>13</v>
      </c>
      <c r="H175" s="326" t="s">
        <v>14</v>
      </c>
      <c r="I175" s="326" t="s">
        <v>15</v>
      </c>
      <c r="J175" s="326" t="s">
        <v>16</v>
      </c>
      <c r="K175" s="326" t="s">
        <v>17</v>
      </c>
      <c r="L175" s="327"/>
      <c r="M175" s="333"/>
      <c r="N175" s="333"/>
      <c r="O175" s="333"/>
      <c r="P175" s="320"/>
    </row>
    <row r="176" spans="1:16" x14ac:dyDescent="0.25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34"/>
      <c r="N176" s="334"/>
      <c r="O176" s="334"/>
      <c r="P176" s="321"/>
    </row>
    <row r="177" spans="1:16" ht="15.75" x14ac:dyDescent="0.25">
      <c r="A177" s="2" t="s">
        <v>18</v>
      </c>
      <c r="B177" s="2" t="s">
        <v>19</v>
      </c>
      <c r="C177" s="2"/>
      <c r="D177" s="2" t="s">
        <v>20</v>
      </c>
      <c r="E177" s="2" t="s">
        <v>21</v>
      </c>
      <c r="F177" s="2" t="s">
        <v>22</v>
      </c>
      <c r="G177" s="2" t="s">
        <v>23</v>
      </c>
      <c r="H177" s="2" t="s">
        <v>23</v>
      </c>
      <c r="I177" s="2" t="s">
        <v>24</v>
      </c>
      <c r="J177" s="2" t="s">
        <v>22</v>
      </c>
      <c r="K177" s="2" t="s">
        <v>24</v>
      </c>
      <c r="L177" s="2" t="s">
        <v>25</v>
      </c>
      <c r="M177" s="3" t="s">
        <v>25</v>
      </c>
      <c r="N177" s="3" t="s">
        <v>26</v>
      </c>
      <c r="O177" s="3" t="s">
        <v>27</v>
      </c>
      <c r="P177" s="2" t="s">
        <v>28</v>
      </c>
    </row>
    <row r="178" spans="1:16" ht="15.75" x14ac:dyDescent="0.25">
      <c r="A178" s="2">
        <v>515</v>
      </c>
      <c r="B178" s="4" t="s">
        <v>126</v>
      </c>
      <c r="C178" s="4" t="s">
        <v>134</v>
      </c>
      <c r="D178" s="2" t="s">
        <v>30</v>
      </c>
      <c r="E178" s="2">
        <v>1.57</v>
      </c>
      <c r="F178" s="2">
        <v>63</v>
      </c>
      <c r="G178" s="5">
        <f>H178*100/F178</f>
        <v>198.4126984126984</v>
      </c>
      <c r="H178" s="2">
        <v>125</v>
      </c>
      <c r="I178" s="6">
        <f>1/(H178/(10*F178))</f>
        <v>5.04</v>
      </c>
      <c r="J178" s="2">
        <v>20</v>
      </c>
      <c r="K178" s="6">
        <f>I178-(I178/100*J178)</f>
        <v>4.032</v>
      </c>
      <c r="L178" s="7">
        <f>M178/E178</f>
        <v>815.28662420382159</v>
      </c>
      <c r="M178" s="8">
        <v>1280</v>
      </c>
      <c r="N178" s="9">
        <f>A178/K178</f>
        <v>127.72817460317461</v>
      </c>
      <c r="O178" s="8">
        <f>E178*N178</f>
        <v>200.53323412698415</v>
      </c>
      <c r="P178" s="10">
        <f>N178*M178</f>
        <v>163492.06349206349</v>
      </c>
    </row>
    <row r="179" spans="1:16" ht="15.75" x14ac:dyDescent="0.25">
      <c r="A179" s="2">
        <v>515</v>
      </c>
      <c r="B179" s="4" t="s">
        <v>126</v>
      </c>
      <c r="C179" s="4" t="s">
        <v>134</v>
      </c>
      <c r="D179" s="2" t="s">
        <v>30</v>
      </c>
      <c r="E179" s="2">
        <v>1.57</v>
      </c>
      <c r="F179" s="2">
        <v>63</v>
      </c>
      <c r="G179" s="5">
        <f>H179*100/F179</f>
        <v>198.4126984126984</v>
      </c>
      <c r="H179" s="2">
        <v>125</v>
      </c>
      <c r="I179" s="6">
        <f>1/(H179/(10*F179))</f>
        <v>5.04</v>
      </c>
      <c r="J179" s="2">
        <v>20</v>
      </c>
      <c r="K179" s="6">
        <f>I179-(I179/100*J179)</f>
        <v>4.032</v>
      </c>
      <c r="L179" s="7">
        <f>M179/E179</f>
        <v>815.28662420382159</v>
      </c>
      <c r="M179" s="8">
        <v>1280</v>
      </c>
      <c r="N179" s="9">
        <f>A179/K179</f>
        <v>127.72817460317461</v>
      </c>
      <c r="O179" s="8">
        <f>E179*N179</f>
        <v>200.53323412698415</v>
      </c>
      <c r="P179" s="10">
        <f>N179*M179</f>
        <v>163492.06349206349</v>
      </c>
    </row>
    <row r="180" spans="1:16" ht="15.75" hidden="1" x14ac:dyDescent="0.25">
      <c r="A180" s="283" t="s">
        <v>33</v>
      </c>
      <c r="B180" s="284"/>
      <c r="C180" s="284"/>
      <c r="D180" s="285"/>
      <c r="E180" s="2">
        <v>0.9</v>
      </c>
      <c r="F180" s="283">
        <v>5</v>
      </c>
      <c r="G180" s="284"/>
      <c r="H180" s="284"/>
      <c r="I180" s="285"/>
      <c r="J180" s="2"/>
      <c r="K180" s="2"/>
      <c r="L180" s="4">
        <v>0</v>
      </c>
      <c r="M180" s="12">
        <v>0</v>
      </c>
      <c r="N180" s="13">
        <f>N179*(F180/100)</f>
        <v>6.3864087301587311</v>
      </c>
      <c r="O180" s="9">
        <f>E180*N180</f>
        <v>5.7477678571428585</v>
      </c>
      <c r="P180" s="10">
        <f>N180*L180</f>
        <v>0</v>
      </c>
    </row>
    <row r="181" spans="1:16" ht="15.75" x14ac:dyDescent="0.25">
      <c r="A181" s="2"/>
      <c r="B181" s="283" t="s">
        <v>35</v>
      </c>
      <c r="C181" s="284"/>
      <c r="D181" s="284"/>
      <c r="E181" s="284"/>
      <c r="F181" s="284"/>
      <c r="G181" s="285"/>
      <c r="H181" s="2">
        <f>SUM(H178:H179)</f>
        <v>250</v>
      </c>
      <c r="I181" s="283"/>
      <c r="J181" s="284"/>
      <c r="K181" s="284"/>
      <c r="L181" s="284"/>
      <c r="M181" s="284"/>
      <c r="N181" s="284"/>
      <c r="O181" s="285"/>
      <c r="P181" s="10">
        <f>SUM(P178:P180)</f>
        <v>326984.12698412698</v>
      </c>
    </row>
    <row r="183" spans="1:16" ht="15.75" thickBot="1" x14ac:dyDescent="0.3"/>
    <row r="184" spans="1:16" x14ac:dyDescent="0.25">
      <c r="A184" s="393" t="s">
        <v>183</v>
      </c>
      <c r="B184" s="394"/>
      <c r="C184" s="395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</row>
    <row r="185" spans="1:16" ht="15.75" thickBot="1" x14ac:dyDescent="0.3">
      <c r="A185" s="294"/>
      <c r="B185" s="295"/>
      <c r="C185" s="296"/>
      <c r="D185" s="64"/>
      <c r="E185" s="64"/>
      <c r="F185" s="64"/>
      <c r="G185" s="64"/>
      <c r="H185" s="64"/>
      <c r="I185" s="64"/>
      <c r="J185" s="64"/>
      <c r="K185" s="64"/>
      <c r="L185" s="64"/>
      <c r="M185" s="65"/>
      <c r="N185" s="64"/>
      <c r="O185" s="64"/>
      <c r="P185" s="64"/>
    </row>
    <row r="186" spans="1:16" ht="15" customHeight="1" x14ac:dyDescent="0.25">
      <c r="A186" s="326" t="s">
        <v>0</v>
      </c>
      <c r="B186" s="326" t="s">
        <v>1</v>
      </c>
      <c r="C186" s="326" t="s">
        <v>2</v>
      </c>
      <c r="D186" s="326" t="s">
        <v>3</v>
      </c>
      <c r="E186" s="326" t="s">
        <v>5</v>
      </c>
      <c r="F186" s="326" t="s">
        <v>5</v>
      </c>
      <c r="G186" s="329" t="s">
        <v>6</v>
      </c>
      <c r="H186" s="330"/>
      <c r="I186" s="329" t="s">
        <v>7</v>
      </c>
      <c r="J186" s="331"/>
      <c r="K186" s="330"/>
      <c r="L186" s="326" t="s">
        <v>8</v>
      </c>
      <c r="M186" s="332" t="s">
        <v>9</v>
      </c>
      <c r="N186" s="332" t="s">
        <v>10</v>
      </c>
      <c r="O186" s="396" t="s">
        <v>184</v>
      </c>
      <c r="P186" s="396" t="s">
        <v>63</v>
      </c>
    </row>
    <row r="187" spans="1:16" ht="15" customHeight="1" x14ac:dyDescent="0.25">
      <c r="A187" s="327"/>
      <c r="B187" s="327"/>
      <c r="C187" s="327"/>
      <c r="D187" s="327"/>
      <c r="E187" s="327"/>
      <c r="F187" s="327"/>
      <c r="G187" s="326" t="s">
        <v>13</v>
      </c>
      <c r="H187" s="326" t="s">
        <v>14</v>
      </c>
      <c r="I187" s="326" t="s">
        <v>15</v>
      </c>
      <c r="J187" s="326" t="s">
        <v>16</v>
      </c>
      <c r="K187" s="326" t="s">
        <v>17</v>
      </c>
      <c r="L187" s="327"/>
      <c r="M187" s="333"/>
      <c r="N187" s="333"/>
      <c r="O187" s="396"/>
      <c r="P187" s="396"/>
    </row>
    <row r="188" spans="1:16" ht="15" customHeight="1" x14ac:dyDescent="0.25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34"/>
      <c r="N188" s="334"/>
      <c r="O188" s="396"/>
      <c r="P188" s="396"/>
    </row>
    <row r="189" spans="1:16" x14ac:dyDescent="0.25">
      <c r="A189" s="86" t="s">
        <v>18</v>
      </c>
      <c r="B189" s="86" t="s">
        <v>19</v>
      </c>
      <c r="C189" s="86" t="s">
        <v>20</v>
      </c>
      <c r="D189" s="86" t="s">
        <v>21</v>
      </c>
      <c r="E189" s="86" t="s">
        <v>22</v>
      </c>
      <c r="F189" s="86" t="s">
        <v>23</v>
      </c>
      <c r="G189" s="86" t="s">
        <v>23</v>
      </c>
      <c r="H189" s="86" t="s">
        <v>24</v>
      </c>
      <c r="I189" s="86" t="s">
        <v>22</v>
      </c>
      <c r="J189" s="86" t="s">
        <v>24</v>
      </c>
      <c r="K189" s="86" t="s">
        <v>185</v>
      </c>
      <c r="L189" s="86" t="s">
        <v>25</v>
      </c>
      <c r="M189" s="86" t="s">
        <v>25</v>
      </c>
      <c r="N189" s="86" t="s">
        <v>26</v>
      </c>
      <c r="O189" s="66" t="s">
        <v>25</v>
      </c>
      <c r="P189" s="66" t="s">
        <v>27</v>
      </c>
    </row>
    <row r="190" spans="1:16" ht="15.75" x14ac:dyDescent="0.25">
      <c r="A190" s="86">
        <v>1</v>
      </c>
      <c r="B190" s="58" t="s">
        <v>186</v>
      </c>
      <c r="C190" s="4" t="s">
        <v>29</v>
      </c>
      <c r="D190" s="86">
        <v>1.52</v>
      </c>
      <c r="E190" s="86">
        <v>71</v>
      </c>
      <c r="F190" s="87">
        <f>G190*100/E190</f>
        <v>197.18309859154928</v>
      </c>
      <c r="G190" s="86">
        <v>140</v>
      </c>
      <c r="H190" s="88">
        <f>1/(G190/(10*E190))</f>
        <v>5.0714285714285721</v>
      </c>
      <c r="I190" s="86">
        <v>0</v>
      </c>
      <c r="J190" s="88">
        <f>H190-(H190/100*I190)</f>
        <v>5.0714285714285721</v>
      </c>
      <c r="K190" s="86">
        <v>20</v>
      </c>
      <c r="L190" s="89">
        <f>M190*D190</f>
        <v>796.48</v>
      </c>
      <c r="M190" s="89">
        <v>524</v>
      </c>
      <c r="N190" s="90">
        <f>A190/J190</f>
        <v>0.19718309859154928</v>
      </c>
      <c r="O190" s="67">
        <f>N190*L190</f>
        <v>157.05239436619718</v>
      </c>
      <c r="P190" s="67">
        <f>D190*N190</f>
        <v>0.29971830985915493</v>
      </c>
    </row>
    <row r="191" spans="1:16" ht="15.75" x14ac:dyDescent="0.25">
      <c r="A191" s="86">
        <v>1</v>
      </c>
      <c r="B191" s="58" t="s">
        <v>187</v>
      </c>
      <c r="C191" s="4" t="s">
        <v>32</v>
      </c>
      <c r="D191" s="86">
        <v>1.4</v>
      </c>
      <c r="E191" s="86">
        <v>54</v>
      </c>
      <c r="F191" s="87">
        <f>G191*100/E191</f>
        <v>111.11111111111111</v>
      </c>
      <c r="G191" s="86">
        <v>60</v>
      </c>
      <c r="H191" s="88">
        <f>1/(G191/(10*E191))</f>
        <v>9</v>
      </c>
      <c r="I191" s="86">
        <v>0</v>
      </c>
      <c r="J191" s="88">
        <f>H191-(H191/100*I191)</f>
        <v>9</v>
      </c>
      <c r="K191" s="86">
        <v>20</v>
      </c>
      <c r="L191" s="89">
        <f>M191*D191</f>
        <v>1036</v>
      </c>
      <c r="M191" s="89">
        <v>740</v>
      </c>
      <c r="N191" s="90">
        <f>A191/J191</f>
        <v>0.1111111111111111</v>
      </c>
      <c r="O191" s="67">
        <f>N191*L191</f>
        <v>115.1111111111111</v>
      </c>
      <c r="P191" s="67">
        <f>D191*N191</f>
        <v>0.15555555555555553</v>
      </c>
    </row>
    <row r="192" spans="1:16" x14ac:dyDescent="0.25">
      <c r="A192" s="86"/>
      <c r="B192" s="86" t="s">
        <v>35</v>
      </c>
      <c r="C192" s="86"/>
      <c r="D192" s="86"/>
      <c r="E192" s="86"/>
      <c r="F192" s="86"/>
      <c r="G192" s="86">
        <f>SUM(G190:G191)</f>
        <v>200</v>
      </c>
      <c r="H192" s="397"/>
      <c r="I192" s="397"/>
      <c r="J192" s="397"/>
      <c r="K192" s="397"/>
      <c r="L192" s="397"/>
      <c r="M192" s="397"/>
      <c r="N192" s="90">
        <f>SUM(N190:N191)</f>
        <v>0.30829420970266042</v>
      </c>
      <c r="O192" s="68">
        <f>SUM(O190:O191)</f>
        <v>272.16350547730826</v>
      </c>
      <c r="P192" s="69"/>
    </row>
    <row r="193" spans="1:19" x14ac:dyDescent="0.25">
      <c r="A193" s="397" t="s">
        <v>188</v>
      </c>
      <c r="B193" s="397"/>
      <c r="C193" s="397"/>
      <c r="D193" s="397"/>
      <c r="E193" s="397"/>
      <c r="F193" s="397"/>
      <c r="G193" s="397"/>
      <c r="H193" s="397"/>
      <c r="I193" s="397"/>
      <c r="J193" s="397"/>
      <c r="K193" s="397"/>
      <c r="L193" s="397"/>
      <c r="M193" s="397"/>
      <c r="N193" s="397"/>
      <c r="O193" s="67">
        <f>SUM(O190:O191)</f>
        <v>272.16350547730826</v>
      </c>
      <c r="P193" s="69"/>
    </row>
    <row r="197" spans="1:19" ht="15.75" x14ac:dyDescent="0.25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</row>
    <row r="198" spans="1:19" ht="15.75" customHeight="1" x14ac:dyDescent="0.25">
      <c r="A198" s="326" t="s">
        <v>0</v>
      </c>
      <c r="B198" s="326" t="s">
        <v>1</v>
      </c>
      <c r="C198" s="326" t="s">
        <v>2</v>
      </c>
      <c r="D198" s="326" t="s">
        <v>3</v>
      </c>
      <c r="E198" s="326" t="s">
        <v>4</v>
      </c>
      <c r="F198" s="326" t="s">
        <v>5</v>
      </c>
      <c r="G198" s="329" t="s">
        <v>6</v>
      </c>
      <c r="H198" s="330"/>
      <c r="I198" s="329" t="s">
        <v>7</v>
      </c>
      <c r="J198" s="331"/>
      <c r="K198" s="330"/>
      <c r="L198" s="326" t="s">
        <v>8</v>
      </c>
      <c r="M198" s="332" t="s">
        <v>9</v>
      </c>
      <c r="N198" s="332" t="s">
        <v>10</v>
      </c>
      <c r="O198" s="332" t="s">
        <v>156</v>
      </c>
      <c r="P198" s="319" t="s">
        <v>12</v>
      </c>
    </row>
    <row r="199" spans="1:19" ht="15" customHeight="1" x14ac:dyDescent="0.25">
      <c r="A199" s="327"/>
      <c r="B199" s="327"/>
      <c r="C199" s="327"/>
      <c r="D199" s="327"/>
      <c r="E199" s="327"/>
      <c r="F199" s="327"/>
      <c r="G199" s="326" t="s">
        <v>13</v>
      </c>
      <c r="H199" s="326" t="s">
        <v>14</v>
      </c>
      <c r="I199" s="326" t="s">
        <v>15</v>
      </c>
      <c r="J199" s="326" t="s">
        <v>16</v>
      </c>
      <c r="K199" s="326" t="s">
        <v>17</v>
      </c>
      <c r="L199" s="327"/>
      <c r="M199" s="333"/>
      <c r="N199" s="333"/>
      <c r="O199" s="333"/>
      <c r="P199" s="320"/>
    </row>
    <row r="200" spans="1:19" ht="15" customHeight="1" x14ac:dyDescent="0.25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34"/>
      <c r="N200" s="334"/>
      <c r="O200" s="334"/>
      <c r="P200" s="321"/>
    </row>
    <row r="201" spans="1:19" ht="15.75" x14ac:dyDescent="0.25">
      <c r="A201" s="2" t="s">
        <v>18</v>
      </c>
      <c r="B201" s="2" t="s">
        <v>19</v>
      </c>
      <c r="C201" s="2"/>
      <c r="D201" s="2" t="s">
        <v>20</v>
      </c>
      <c r="E201" s="2" t="s">
        <v>21</v>
      </c>
      <c r="F201" s="2" t="s">
        <v>22</v>
      </c>
      <c r="G201" s="2" t="s">
        <v>23</v>
      </c>
      <c r="H201" s="2" t="s">
        <v>23</v>
      </c>
      <c r="I201" s="2" t="s">
        <v>24</v>
      </c>
      <c r="J201" s="2" t="s">
        <v>22</v>
      </c>
      <c r="K201" s="2" t="s">
        <v>24</v>
      </c>
      <c r="L201" s="2" t="s">
        <v>25</v>
      </c>
      <c r="M201" s="3" t="s">
        <v>25</v>
      </c>
      <c r="N201" s="3" t="s">
        <v>26</v>
      </c>
      <c r="O201" s="3" t="s">
        <v>27</v>
      </c>
      <c r="P201" s="2" t="s">
        <v>28</v>
      </c>
    </row>
    <row r="202" spans="1:19" ht="15.75" x14ac:dyDescent="0.25">
      <c r="A202" s="2">
        <v>1</v>
      </c>
      <c r="B202" s="4" t="s">
        <v>65</v>
      </c>
      <c r="C202" s="4" t="s">
        <v>29</v>
      </c>
      <c r="D202" s="2" t="s">
        <v>30</v>
      </c>
      <c r="E202" s="2">
        <v>1.6</v>
      </c>
      <c r="F202" s="2">
        <v>74</v>
      </c>
      <c r="G202" s="5">
        <f>H202*100/F202</f>
        <v>189.18918918918919</v>
      </c>
      <c r="H202" s="2">
        <v>140</v>
      </c>
      <c r="I202" s="6">
        <f>1/(H202/(10*F202))</f>
        <v>5.2857142857142856</v>
      </c>
      <c r="J202" s="2">
        <v>0</v>
      </c>
      <c r="K202" s="6">
        <f>I202-(I202/100*J202)</f>
        <v>5.2857142857142856</v>
      </c>
      <c r="L202" s="7">
        <f>M202/1.6</f>
        <v>511.875</v>
      </c>
      <c r="M202" s="8">
        <f>630*1.3</f>
        <v>819</v>
      </c>
      <c r="N202" s="9">
        <f>A202/K202</f>
        <v>0.1891891891891892</v>
      </c>
      <c r="O202" s="8">
        <f>E202*N202</f>
        <v>0.30270270270270272</v>
      </c>
      <c r="P202" s="10">
        <f>N202*M202</f>
        <v>154.94594594594597</v>
      </c>
    </row>
    <row r="203" spans="1:19" ht="31.5" x14ac:dyDescent="0.25">
      <c r="A203" s="2">
        <v>1</v>
      </c>
      <c r="B203" s="4" t="s">
        <v>31</v>
      </c>
      <c r="C203" s="4" t="s">
        <v>32</v>
      </c>
      <c r="D203" s="11" t="s">
        <v>30</v>
      </c>
      <c r="E203" s="2">
        <v>1.4</v>
      </c>
      <c r="F203" s="2">
        <v>63</v>
      </c>
      <c r="G203" s="5">
        <f>H203*100/F203</f>
        <v>95.238095238095241</v>
      </c>
      <c r="H203" s="2">
        <v>60</v>
      </c>
      <c r="I203" s="6">
        <f>1/(H203/(10*F203))</f>
        <v>10.5</v>
      </c>
      <c r="J203" s="2">
        <v>0</v>
      </c>
      <c r="K203" s="6">
        <f>I203-(I203/100*J203)</f>
        <v>10.5</v>
      </c>
      <c r="L203" s="7">
        <f>M203/1.4</f>
        <v>876.57142857142867</v>
      </c>
      <c r="M203" s="8">
        <f>944*1.3</f>
        <v>1227.2</v>
      </c>
      <c r="N203" s="9">
        <f>A203/K203</f>
        <v>9.5238095238095233E-2</v>
      </c>
      <c r="O203" s="9">
        <f>E203*N203</f>
        <v>0.1333333333333333</v>
      </c>
      <c r="P203" s="10">
        <f>N203*M203</f>
        <v>116.87619047619047</v>
      </c>
      <c r="S203">
        <f>N191/N203</f>
        <v>1.1666666666666667</v>
      </c>
    </row>
    <row r="204" spans="1:19" ht="15.75" customHeight="1" x14ac:dyDescent="0.25">
      <c r="A204" s="283" t="s">
        <v>33</v>
      </c>
      <c r="B204" s="284"/>
      <c r="C204" s="284"/>
      <c r="D204" s="285"/>
      <c r="E204" s="2">
        <v>0.9</v>
      </c>
      <c r="F204" s="283">
        <v>5</v>
      </c>
      <c r="G204" s="284"/>
      <c r="H204" s="284"/>
      <c r="I204" s="285"/>
      <c r="J204" s="2"/>
      <c r="K204" s="2"/>
      <c r="L204" s="4"/>
      <c r="M204" s="12">
        <v>0</v>
      </c>
      <c r="N204" s="13">
        <f>N202*(F204/100)</f>
        <v>9.45945945945946E-3</v>
      </c>
      <c r="O204" s="9">
        <f>E204*N204</f>
        <v>8.513513513513515E-3</v>
      </c>
      <c r="P204" s="10">
        <f>N204*M204</f>
        <v>0</v>
      </c>
    </row>
    <row r="205" spans="1:19" ht="15.75" customHeight="1" x14ac:dyDescent="0.25">
      <c r="A205" s="283" t="s">
        <v>34</v>
      </c>
      <c r="B205" s="284"/>
      <c r="C205" s="284"/>
      <c r="D205" s="285"/>
      <c r="E205" s="2">
        <v>0.9</v>
      </c>
      <c r="F205" s="283">
        <v>5</v>
      </c>
      <c r="G205" s="284"/>
      <c r="H205" s="284"/>
      <c r="I205" s="285"/>
      <c r="J205" s="2"/>
      <c r="K205" s="2"/>
      <c r="L205" s="4"/>
      <c r="M205" s="12">
        <v>0</v>
      </c>
      <c r="N205" s="13">
        <f>N203*(F205/100)</f>
        <v>4.7619047619047623E-3</v>
      </c>
      <c r="O205" s="9">
        <f>E205*N205</f>
        <v>4.2857142857142859E-3</v>
      </c>
      <c r="P205" s="10">
        <f>N205*M205</f>
        <v>0</v>
      </c>
    </row>
    <row r="206" spans="1:19" ht="15.75" customHeight="1" x14ac:dyDescent="0.25">
      <c r="A206" s="2"/>
      <c r="B206" s="283" t="s">
        <v>35</v>
      </c>
      <c r="C206" s="284"/>
      <c r="D206" s="284"/>
      <c r="E206" s="284"/>
      <c r="F206" s="284"/>
      <c r="G206" s="285"/>
      <c r="H206" s="2">
        <f>SUM(H202:H203)</f>
        <v>200</v>
      </c>
      <c r="I206" s="283"/>
      <c r="J206" s="284"/>
      <c r="K206" s="284"/>
      <c r="L206" s="284"/>
      <c r="M206" s="284"/>
      <c r="N206" s="284"/>
      <c r="O206" s="285"/>
      <c r="P206" s="10">
        <f>SUM(P202:P205)</f>
        <v>271.82213642213645</v>
      </c>
    </row>
    <row r="209" spans="1:16" ht="15.75" x14ac:dyDescent="0.25">
      <c r="A209" s="326" t="s">
        <v>0</v>
      </c>
      <c r="B209" s="326" t="s">
        <v>1</v>
      </c>
      <c r="C209" s="326" t="s">
        <v>2</v>
      </c>
      <c r="D209" s="326" t="s">
        <v>3</v>
      </c>
      <c r="E209" s="326" t="s">
        <v>4</v>
      </c>
      <c r="F209" s="326" t="s">
        <v>5</v>
      </c>
      <c r="G209" s="329" t="s">
        <v>6</v>
      </c>
      <c r="H209" s="330"/>
      <c r="I209" s="329" t="s">
        <v>7</v>
      </c>
      <c r="J209" s="331"/>
      <c r="K209" s="330"/>
      <c r="L209" s="326" t="s">
        <v>8</v>
      </c>
      <c r="M209" s="332" t="s">
        <v>9</v>
      </c>
      <c r="N209" s="332" t="s">
        <v>10</v>
      </c>
      <c r="O209" s="332" t="s">
        <v>156</v>
      </c>
    </row>
    <row r="210" spans="1:16" x14ac:dyDescent="0.25">
      <c r="A210" s="327"/>
      <c r="B210" s="327"/>
      <c r="C210" s="327"/>
      <c r="D210" s="327"/>
      <c r="E210" s="327"/>
      <c r="F210" s="327"/>
      <c r="G210" s="326" t="s">
        <v>13</v>
      </c>
      <c r="H210" s="326" t="s">
        <v>14</v>
      </c>
      <c r="I210" s="326" t="s">
        <v>15</v>
      </c>
      <c r="J210" s="326" t="s">
        <v>16</v>
      </c>
      <c r="K210" s="326" t="s">
        <v>17</v>
      </c>
      <c r="L210" s="327"/>
      <c r="M210" s="333"/>
      <c r="N210" s="333"/>
      <c r="O210" s="333"/>
    </row>
    <row r="211" spans="1:16" x14ac:dyDescent="0.25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34"/>
      <c r="N211" s="334"/>
      <c r="O211" s="334"/>
    </row>
    <row r="212" spans="1:16" ht="15.75" x14ac:dyDescent="0.25">
      <c r="A212" s="2" t="s">
        <v>18</v>
      </c>
      <c r="B212" s="2" t="s">
        <v>19</v>
      </c>
      <c r="C212" s="2"/>
      <c r="D212" s="2" t="s">
        <v>20</v>
      </c>
      <c r="E212" s="2" t="s">
        <v>21</v>
      </c>
      <c r="F212" s="2" t="s">
        <v>22</v>
      </c>
      <c r="G212" s="2" t="s">
        <v>23</v>
      </c>
      <c r="H212" s="2" t="s">
        <v>23</v>
      </c>
      <c r="I212" s="2" t="s">
        <v>24</v>
      </c>
      <c r="J212" s="2" t="s">
        <v>22</v>
      </c>
      <c r="K212" s="2" t="s">
        <v>24</v>
      </c>
      <c r="L212" s="2" t="s">
        <v>25</v>
      </c>
      <c r="M212" s="3" t="s">
        <v>25</v>
      </c>
      <c r="N212" s="3" t="s">
        <v>26</v>
      </c>
      <c r="O212" s="3" t="s">
        <v>27</v>
      </c>
    </row>
    <row r="213" spans="1:16" ht="15.75" x14ac:dyDescent="0.25">
      <c r="A213" s="2">
        <v>1</v>
      </c>
      <c r="B213" s="58" t="s">
        <v>186</v>
      </c>
      <c r="C213" s="4" t="s">
        <v>29</v>
      </c>
      <c r="D213" s="2" t="s">
        <v>30</v>
      </c>
      <c r="E213" s="2">
        <v>1.52</v>
      </c>
      <c r="F213" s="2">
        <v>71</v>
      </c>
      <c r="G213" s="5">
        <f>H213*100/F213</f>
        <v>197.18309859154928</v>
      </c>
      <c r="H213" s="2">
        <v>140</v>
      </c>
      <c r="I213" s="6">
        <f>1/(H213/(10*F213))</f>
        <v>5.0714285714285721</v>
      </c>
      <c r="J213" s="2">
        <v>0</v>
      </c>
      <c r="K213" s="6">
        <f>I213-(I213/100*J213)</f>
        <v>5.0714285714285721</v>
      </c>
      <c r="L213" s="7">
        <f>M213/1.6</f>
        <v>511.875</v>
      </c>
      <c r="M213" s="8">
        <f>630*1.3</f>
        <v>819</v>
      </c>
      <c r="N213" s="9">
        <f>A213/K213</f>
        <v>0.19718309859154928</v>
      </c>
      <c r="O213" s="8">
        <f>E213*N213</f>
        <v>0.29971830985915493</v>
      </c>
    </row>
    <row r="214" spans="1:16" ht="15.75" x14ac:dyDescent="0.25">
      <c r="A214" s="2">
        <v>1</v>
      </c>
      <c r="B214" s="58" t="s">
        <v>187</v>
      </c>
      <c r="C214" s="4" t="s">
        <v>32</v>
      </c>
      <c r="D214" s="11" t="s">
        <v>30</v>
      </c>
      <c r="E214" s="2">
        <v>1.4</v>
      </c>
      <c r="F214" s="2">
        <v>54</v>
      </c>
      <c r="G214" s="5">
        <f>H214*100/F214</f>
        <v>111.11111111111111</v>
      </c>
      <c r="H214" s="2">
        <v>60</v>
      </c>
      <c r="I214" s="6">
        <f>1/(H214/(10*F214))</f>
        <v>9</v>
      </c>
      <c r="J214" s="2">
        <v>0</v>
      </c>
      <c r="K214" s="6">
        <f>I214-(I214/100*J214)</f>
        <v>9</v>
      </c>
      <c r="L214" s="7">
        <f>M214/1.4</f>
        <v>876.57142857142867</v>
      </c>
      <c r="M214" s="8">
        <f>944*1.3</f>
        <v>1227.2</v>
      </c>
      <c r="N214" s="9">
        <f>A214/K214</f>
        <v>0.1111111111111111</v>
      </c>
      <c r="O214" s="9">
        <f>E214*N214</f>
        <v>0.15555555555555553</v>
      </c>
    </row>
    <row r="215" spans="1:16" ht="15.75" x14ac:dyDescent="0.25">
      <c r="A215" s="283" t="s">
        <v>33</v>
      </c>
      <c r="B215" s="284"/>
      <c r="C215" s="284"/>
      <c r="D215" s="285"/>
      <c r="E215" s="2">
        <v>0.9</v>
      </c>
      <c r="F215" s="283">
        <v>5</v>
      </c>
      <c r="G215" s="284"/>
      <c r="H215" s="284"/>
      <c r="I215" s="285"/>
      <c r="J215" s="2"/>
      <c r="K215" s="2"/>
      <c r="L215" s="4"/>
      <c r="M215" s="12">
        <v>0</v>
      </c>
      <c r="N215" s="13">
        <f>N213*(F215/100)</f>
        <v>9.8591549295774655E-3</v>
      </c>
      <c r="O215" s="9">
        <f>E215*N215</f>
        <v>8.8732394366197193E-3</v>
      </c>
    </row>
    <row r="216" spans="1:16" ht="15.75" x14ac:dyDescent="0.25">
      <c r="A216" s="283" t="s">
        <v>34</v>
      </c>
      <c r="B216" s="284"/>
      <c r="C216" s="284"/>
      <c r="D216" s="285"/>
      <c r="E216" s="2">
        <v>0.9</v>
      </c>
      <c r="F216" s="283">
        <v>5</v>
      </c>
      <c r="G216" s="284"/>
      <c r="H216" s="284"/>
      <c r="I216" s="285"/>
      <c r="J216" s="2"/>
      <c r="K216" s="2"/>
      <c r="L216" s="4"/>
      <c r="M216" s="12">
        <v>0</v>
      </c>
      <c r="N216" s="13">
        <f>N214*(F216/100)</f>
        <v>5.5555555555555558E-3</v>
      </c>
      <c r="O216" s="9">
        <f>E216*N216</f>
        <v>5.0000000000000001E-3</v>
      </c>
    </row>
    <row r="217" spans="1:16" ht="15.75" x14ac:dyDescent="0.25">
      <c r="A217" s="2"/>
      <c r="B217" s="283" t="s">
        <v>35</v>
      </c>
      <c r="C217" s="284"/>
      <c r="D217" s="284"/>
      <c r="E217" s="284"/>
      <c r="F217" s="284"/>
      <c r="G217" s="285"/>
      <c r="H217" s="2">
        <f>SUM(H213:H214)</f>
        <v>200</v>
      </c>
      <c r="I217" s="283"/>
      <c r="J217" s="284"/>
      <c r="K217" s="284"/>
      <c r="L217" s="284"/>
      <c r="M217" s="284"/>
      <c r="N217" s="284"/>
      <c r="O217" s="285"/>
    </row>
    <row r="223" spans="1:16" ht="15.75" x14ac:dyDescent="0.25">
      <c r="A223" s="326" t="s">
        <v>0</v>
      </c>
      <c r="B223" s="326" t="s">
        <v>1</v>
      </c>
      <c r="C223" s="326" t="s">
        <v>2</v>
      </c>
      <c r="D223" s="326" t="s">
        <v>3</v>
      </c>
      <c r="E223" s="326" t="s">
        <v>4</v>
      </c>
      <c r="F223" s="326" t="s">
        <v>5</v>
      </c>
      <c r="G223" s="329" t="s">
        <v>6</v>
      </c>
      <c r="H223" s="330"/>
      <c r="I223" s="329" t="s">
        <v>7</v>
      </c>
      <c r="J223" s="331"/>
      <c r="K223" s="330"/>
      <c r="L223" s="326" t="s">
        <v>8</v>
      </c>
      <c r="M223" s="332" t="s">
        <v>9</v>
      </c>
      <c r="N223" s="332" t="s">
        <v>10</v>
      </c>
      <c r="O223" s="332" t="s">
        <v>10</v>
      </c>
      <c r="P223" s="319" t="s">
        <v>12</v>
      </c>
    </row>
    <row r="224" spans="1:16" x14ac:dyDescent="0.25">
      <c r="A224" s="327"/>
      <c r="B224" s="327"/>
      <c r="C224" s="327"/>
      <c r="D224" s="327"/>
      <c r="E224" s="327"/>
      <c r="F224" s="327"/>
      <c r="G224" s="326" t="s">
        <v>13</v>
      </c>
      <c r="H224" s="326" t="s">
        <v>14</v>
      </c>
      <c r="I224" s="326" t="s">
        <v>15</v>
      </c>
      <c r="J224" s="326" t="s">
        <v>16</v>
      </c>
      <c r="K224" s="326" t="s">
        <v>17</v>
      </c>
      <c r="L224" s="327"/>
      <c r="M224" s="333"/>
      <c r="N224" s="333"/>
      <c r="O224" s="333"/>
      <c r="P224" s="320"/>
    </row>
    <row r="225" spans="1:16" x14ac:dyDescent="0.25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34"/>
      <c r="N225" s="334"/>
      <c r="O225" s="334"/>
      <c r="P225" s="321"/>
    </row>
    <row r="226" spans="1:16" ht="15.75" x14ac:dyDescent="0.25">
      <c r="A226" s="2" t="s">
        <v>18</v>
      </c>
      <c r="B226" s="2" t="s">
        <v>19</v>
      </c>
      <c r="C226" s="2"/>
      <c r="D226" s="2" t="s">
        <v>20</v>
      </c>
      <c r="E226" s="2" t="s">
        <v>21</v>
      </c>
      <c r="F226" s="2" t="s">
        <v>22</v>
      </c>
      <c r="G226" s="2" t="s">
        <v>23</v>
      </c>
      <c r="H226" s="2" t="s">
        <v>23</v>
      </c>
      <c r="I226" s="2" t="s">
        <v>24</v>
      </c>
      <c r="J226" s="2" t="s">
        <v>22</v>
      </c>
      <c r="K226" s="2" t="s">
        <v>24</v>
      </c>
      <c r="L226" s="2" t="s">
        <v>25</v>
      </c>
      <c r="M226" s="3" t="s">
        <v>25</v>
      </c>
      <c r="N226" s="3" t="s">
        <v>26</v>
      </c>
      <c r="O226" s="3" t="s">
        <v>27</v>
      </c>
      <c r="P226" s="2" t="s">
        <v>28</v>
      </c>
    </row>
    <row r="227" spans="1:16" ht="15.75" x14ac:dyDescent="0.25">
      <c r="A227" s="2">
        <v>3000</v>
      </c>
      <c r="B227" s="4" t="s">
        <v>46</v>
      </c>
      <c r="C227" s="4" t="s">
        <v>29</v>
      </c>
      <c r="D227" s="2" t="s">
        <v>30</v>
      </c>
      <c r="E227" s="2">
        <v>1.4</v>
      </c>
      <c r="F227" s="2">
        <v>80</v>
      </c>
      <c r="G227" s="5">
        <f>H227*100/F227</f>
        <v>300</v>
      </c>
      <c r="H227" s="2">
        <v>240</v>
      </c>
      <c r="I227" s="6">
        <f>1/(H227/(10*F227))</f>
        <v>3.3333333333333335</v>
      </c>
      <c r="J227" s="2">
        <v>40</v>
      </c>
      <c r="K227" s="6">
        <f>I227-(I227/100*J227)</f>
        <v>2</v>
      </c>
      <c r="L227" s="7">
        <f>M227/E227</f>
        <v>785.71428571428578</v>
      </c>
      <c r="M227" s="8">
        <f>1100</f>
        <v>1100</v>
      </c>
      <c r="N227" s="9">
        <f>A227/K227</f>
        <v>1500</v>
      </c>
      <c r="O227" s="8">
        <f>E227*N227</f>
        <v>2100</v>
      </c>
      <c r="P227" s="10">
        <f>O227*L227</f>
        <v>1650000.0000000002</v>
      </c>
    </row>
    <row r="228" spans="1:16" ht="15.75" x14ac:dyDescent="0.25">
      <c r="A228" s="2">
        <v>3000</v>
      </c>
      <c r="B228" s="4" t="s">
        <v>217</v>
      </c>
      <c r="C228" s="4" t="s">
        <v>32</v>
      </c>
      <c r="D228" s="11">
        <v>7004</v>
      </c>
      <c r="E228" s="2">
        <v>1.4</v>
      </c>
      <c r="F228" s="2">
        <v>63</v>
      </c>
      <c r="G228" s="5">
        <f>H228*100/F228</f>
        <v>95.238095238095241</v>
      </c>
      <c r="H228" s="2">
        <v>60</v>
      </c>
      <c r="I228" s="6">
        <f>1/(H228/(10*F228))</f>
        <v>10.5</v>
      </c>
      <c r="J228" s="2">
        <v>40</v>
      </c>
      <c r="K228" s="6">
        <f>I228-(I228/100*J228)</f>
        <v>6.3</v>
      </c>
      <c r="L228" s="7">
        <f>M228/E228</f>
        <v>917.85714285714289</v>
      </c>
      <c r="M228" s="8">
        <f>1285</f>
        <v>1285</v>
      </c>
      <c r="N228" s="9">
        <f>A228/K228</f>
        <v>476.1904761904762</v>
      </c>
      <c r="O228" s="9">
        <f>E228*N228</f>
        <v>666.66666666666663</v>
      </c>
      <c r="P228" s="10">
        <f>O228*L228</f>
        <v>611904.76190476189</v>
      </c>
    </row>
    <row r="229" spans="1:16" ht="15.75" x14ac:dyDescent="0.25">
      <c r="A229" s="283" t="s">
        <v>33</v>
      </c>
      <c r="B229" s="284"/>
      <c r="C229" s="284"/>
      <c r="D229" s="285"/>
      <c r="E229" s="2">
        <v>0.9</v>
      </c>
      <c r="F229" s="283">
        <v>5</v>
      </c>
      <c r="G229" s="284"/>
      <c r="H229" s="284"/>
      <c r="I229" s="285"/>
      <c r="J229" s="2"/>
      <c r="K229" s="2"/>
      <c r="L229" s="4">
        <v>420</v>
      </c>
      <c r="M229" s="12">
        <v>420</v>
      </c>
      <c r="N229" s="13">
        <f>N227*(F229/100)</f>
        <v>75</v>
      </c>
      <c r="O229" s="9">
        <f>E229*N229</f>
        <v>67.5</v>
      </c>
      <c r="P229" s="10">
        <f>N229*L229</f>
        <v>31500</v>
      </c>
    </row>
    <row r="230" spans="1:16" ht="15.75" x14ac:dyDescent="0.25">
      <c r="A230" s="283" t="s">
        <v>34</v>
      </c>
      <c r="B230" s="284"/>
      <c r="C230" s="284"/>
      <c r="D230" s="285"/>
      <c r="E230" s="2">
        <v>0.9</v>
      </c>
      <c r="F230" s="283">
        <v>5</v>
      </c>
      <c r="G230" s="284"/>
      <c r="H230" s="284"/>
      <c r="I230" s="285"/>
      <c r="J230" s="2"/>
      <c r="K230" s="2"/>
      <c r="L230" s="4">
        <v>420</v>
      </c>
      <c r="M230" s="12">
        <v>420</v>
      </c>
      <c r="N230" s="13">
        <f>N228*(F230/100)</f>
        <v>23.80952380952381</v>
      </c>
      <c r="O230" s="9">
        <f>E230*N230</f>
        <v>21.428571428571431</v>
      </c>
      <c r="P230" s="10">
        <f>N230*L230</f>
        <v>10000</v>
      </c>
    </row>
    <row r="231" spans="1:16" ht="15.75" x14ac:dyDescent="0.25">
      <c r="A231" s="2"/>
      <c r="B231" s="283" t="s">
        <v>35</v>
      </c>
      <c r="C231" s="284"/>
      <c r="D231" s="284"/>
      <c r="E231" s="284"/>
      <c r="F231" s="284"/>
      <c r="G231" s="285"/>
      <c r="H231" s="2">
        <f>SUM(H227:H228)</f>
        <v>300</v>
      </c>
      <c r="I231" s="283"/>
      <c r="J231" s="284"/>
      <c r="K231" s="284"/>
      <c r="L231" s="284"/>
      <c r="M231" s="284"/>
      <c r="N231" s="284"/>
      <c r="O231" s="285"/>
      <c r="P231" s="10">
        <f>SUM(P227:P230)</f>
        <v>2303404.7619047621</v>
      </c>
    </row>
    <row r="235" spans="1:16" ht="15.75" x14ac:dyDescent="0.25">
      <c r="A235" s="326" t="s">
        <v>0</v>
      </c>
      <c r="B235" s="326" t="s">
        <v>1</v>
      </c>
      <c r="C235" s="326" t="s">
        <v>2</v>
      </c>
      <c r="D235" s="326" t="s">
        <v>3</v>
      </c>
      <c r="E235" s="326" t="s">
        <v>4</v>
      </c>
      <c r="F235" s="326" t="s">
        <v>5</v>
      </c>
      <c r="G235" s="329" t="s">
        <v>6</v>
      </c>
      <c r="H235" s="330"/>
      <c r="I235" s="329" t="s">
        <v>7</v>
      </c>
      <c r="J235" s="331"/>
      <c r="K235" s="330"/>
      <c r="L235" s="326" t="s">
        <v>8</v>
      </c>
      <c r="M235" s="332" t="s">
        <v>9</v>
      </c>
      <c r="N235" s="332" t="s">
        <v>10</v>
      </c>
      <c r="O235" s="332" t="s">
        <v>10</v>
      </c>
      <c r="P235" s="319" t="s">
        <v>12</v>
      </c>
    </row>
    <row r="236" spans="1:16" x14ac:dyDescent="0.25">
      <c r="A236" s="327"/>
      <c r="B236" s="327"/>
      <c r="C236" s="327"/>
      <c r="D236" s="327"/>
      <c r="E236" s="327"/>
      <c r="F236" s="327"/>
      <c r="G236" s="326" t="s">
        <v>13</v>
      </c>
      <c r="H236" s="326" t="s">
        <v>14</v>
      </c>
      <c r="I236" s="326" t="s">
        <v>15</v>
      </c>
      <c r="J236" s="326" t="s">
        <v>16</v>
      </c>
      <c r="K236" s="326" t="s">
        <v>17</v>
      </c>
      <c r="L236" s="327"/>
      <c r="M236" s="333"/>
      <c r="N236" s="333"/>
      <c r="O236" s="333"/>
      <c r="P236" s="320"/>
    </row>
    <row r="237" spans="1:16" x14ac:dyDescent="0.25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34"/>
      <c r="N237" s="334"/>
      <c r="O237" s="334"/>
      <c r="P237" s="321"/>
    </row>
    <row r="238" spans="1:16" ht="15.75" x14ac:dyDescent="0.25">
      <c r="A238" s="2" t="s">
        <v>18</v>
      </c>
      <c r="B238" s="2" t="s">
        <v>19</v>
      </c>
      <c r="C238" s="2"/>
      <c r="D238" s="2" t="s">
        <v>20</v>
      </c>
      <c r="E238" s="2" t="s">
        <v>21</v>
      </c>
      <c r="F238" s="2" t="s">
        <v>22</v>
      </c>
      <c r="G238" s="2" t="s">
        <v>23</v>
      </c>
      <c r="H238" s="2" t="s">
        <v>23</v>
      </c>
      <c r="I238" s="2" t="s">
        <v>24</v>
      </c>
      <c r="J238" s="2" t="s">
        <v>22</v>
      </c>
      <c r="K238" s="2" t="s">
        <v>24</v>
      </c>
      <c r="L238" s="2" t="s">
        <v>25</v>
      </c>
      <c r="M238" s="3" t="s">
        <v>25</v>
      </c>
      <c r="N238" s="3" t="s">
        <v>26</v>
      </c>
      <c r="O238" s="3" t="s">
        <v>27</v>
      </c>
      <c r="P238" s="2" t="s">
        <v>28</v>
      </c>
    </row>
    <row r="239" spans="1:16" ht="15.75" x14ac:dyDescent="0.25">
      <c r="A239" s="2">
        <v>1</v>
      </c>
      <c r="B239" s="4" t="s">
        <v>233</v>
      </c>
      <c r="C239" s="4"/>
      <c r="D239" s="2" t="s">
        <v>30</v>
      </c>
      <c r="E239" s="2">
        <v>2.6</v>
      </c>
      <c r="F239" s="2">
        <v>44</v>
      </c>
      <c r="G239" s="5">
        <f>H239*100/F239</f>
        <v>181.81818181818181</v>
      </c>
      <c r="H239" s="2">
        <v>80</v>
      </c>
      <c r="I239" s="6">
        <f>1/(H239/(10*F239))</f>
        <v>5.5</v>
      </c>
      <c r="J239" s="2">
        <v>0</v>
      </c>
      <c r="K239" s="6">
        <f>I239-(I239/100*J239)</f>
        <v>5.5</v>
      </c>
      <c r="L239" s="7">
        <f>950</f>
        <v>950</v>
      </c>
      <c r="M239" s="8">
        <f>L239*E239</f>
        <v>2470</v>
      </c>
      <c r="N239" s="9">
        <f>A239/K239</f>
        <v>0.18181818181818182</v>
      </c>
      <c r="O239" s="8">
        <f>E239*N239</f>
        <v>0.47272727272727277</v>
      </c>
      <c r="P239" s="10">
        <f>O239*L239</f>
        <v>449.09090909090912</v>
      </c>
    </row>
    <row r="240" spans="1:16" ht="15.75" x14ac:dyDescent="0.25">
      <c r="A240" s="2">
        <v>1</v>
      </c>
      <c r="B240" s="4" t="s">
        <v>234</v>
      </c>
      <c r="C240" s="4" t="s">
        <v>225</v>
      </c>
      <c r="D240" s="11" t="s">
        <v>30</v>
      </c>
      <c r="E240" s="2">
        <v>0.94</v>
      </c>
      <c r="F240" s="2">
        <v>15.7</v>
      </c>
      <c r="G240" s="5">
        <f>H240*100/F240</f>
        <v>254.77707006369428</v>
      </c>
      <c r="H240" s="2">
        <v>40</v>
      </c>
      <c r="I240" s="6">
        <f>1/(H240/(10*F240))</f>
        <v>3.9249999999999998</v>
      </c>
      <c r="J240" s="2">
        <v>0</v>
      </c>
      <c r="K240" s="6">
        <f>I240-(I240/100*J240)</f>
        <v>3.9249999999999998</v>
      </c>
      <c r="L240" s="7">
        <v>650</v>
      </c>
      <c r="M240" s="8">
        <f>L240*E240</f>
        <v>611</v>
      </c>
      <c r="N240" s="9">
        <f>A240/K240</f>
        <v>0.25477707006369427</v>
      </c>
      <c r="O240" s="9">
        <f>E240*N240</f>
        <v>0.23949044585987259</v>
      </c>
      <c r="P240" s="10">
        <f>O240*L240</f>
        <v>155.66878980891718</v>
      </c>
    </row>
    <row r="241" spans="1:19" ht="15.75" x14ac:dyDescent="0.25">
      <c r="A241" s="283" t="s">
        <v>33</v>
      </c>
      <c r="B241" s="284"/>
      <c r="C241" s="284"/>
      <c r="D241" s="285"/>
      <c r="E241" s="2">
        <v>0.9</v>
      </c>
      <c r="F241" s="283">
        <v>5</v>
      </c>
      <c r="G241" s="284"/>
      <c r="H241" s="284"/>
      <c r="I241" s="285"/>
      <c r="J241" s="2"/>
      <c r="K241" s="2"/>
      <c r="L241" s="4">
        <v>420</v>
      </c>
      <c r="M241" s="12">
        <v>420</v>
      </c>
      <c r="N241" s="13">
        <f>N239*(F241/100)</f>
        <v>9.0909090909090922E-3</v>
      </c>
      <c r="O241" s="9">
        <f>E241*N241</f>
        <v>8.1818181818181825E-3</v>
      </c>
      <c r="P241" s="10">
        <f>N241*L241</f>
        <v>3.8181818181818188</v>
      </c>
    </row>
    <row r="242" spans="1:19" ht="15.75" x14ac:dyDescent="0.25">
      <c r="A242" s="283" t="s">
        <v>34</v>
      </c>
      <c r="B242" s="284"/>
      <c r="C242" s="284"/>
      <c r="D242" s="285"/>
      <c r="E242" s="2">
        <v>0.9</v>
      </c>
      <c r="F242" s="283">
        <v>5</v>
      </c>
      <c r="G242" s="284"/>
      <c r="H242" s="284"/>
      <c r="I242" s="285"/>
      <c r="J242" s="2"/>
      <c r="K242" s="2"/>
      <c r="L242" s="4">
        <v>420</v>
      </c>
      <c r="M242" s="12">
        <v>420</v>
      </c>
      <c r="N242" s="13">
        <f>N240*(F242/100)</f>
        <v>1.2738853503184714E-2</v>
      </c>
      <c r="O242" s="9">
        <f>E242*N242</f>
        <v>1.1464968152866243E-2</v>
      </c>
      <c r="P242" s="10">
        <f>N242*L242</f>
        <v>5.3503184713375802</v>
      </c>
    </row>
    <row r="243" spans="1:19" ht="15.75" x14ac:dyDescent="0.25">
      <c r="A243" s="2"/>
      <c r="B243" s="283" t="s">
        <v>35</v>
      </c>
      <c r="C243" s="284"/>
      <c r="D243" s="284"/>
      <c r="E243" s="284"/>
      <c r="F243" s="284"/>
      <c r="G243" s="285"/>
      <c r="H243" s="2">
        <f>SUM(H239:H240)</f>
        <v>120</v>
      </c>
      <c r="I243" s="283"/>
      <c r="J243" s="284"/>
      <c r="K243" s="284"/>
      <c r="L243" s="284"/>
      <c r="M243" s="284"/>
      <c r="N243" s="284"/>
      <c r="O243" s="285"/>
      <c r="P243" s="10">
        <f>SUM(P239:P242)</f>
        <v>613.92819918934572</v>
      </c>
    </row>
    <row r="245" spans="1:19" ht="15.75" x14ac:dyDescent="0.25">
      <c r="A245" s="326" t="s">
        <v>0</v>
      </c>
      <c r="B245" s="326" t="s">
        <v>1</v>
      </c>
      <c r="C245" s="326" t="s">
        <v>2</v>
      </c>
      <c r="D245" s="326" t="s">
        <v>3</v>
      </c>
      <c r="E245" s="326" t="s">
        <v>4</v>
      </c>
      <c r="F245" s="326" t="s">
        <v>5</v>
      </c>
      <c r="G245" s="329" t="s">
        <v>6</v>
      </c>
      <c r="H245" s="330"/>
      <c r="I245" s="329" t="s">
        <v>7</v>
      </c>
      <c r="J245" s="331"/>
      <c r="K245" s="330"/>
      <c r="L245" s="326" t="s">
        <v>8</v>
      </c>
      <c r="M245" s="332" t="s">
        <v>9</v>
      </c>
      <c r="N245" s="332" t="s">
        <v>10</v>
      </c>
      <c r="O245" s="332" t="s">
        <v>10</v>
      </c>
      <c r="P245" s="319" t="s">
        <v>12</v>
      </c>
    </row>
    <row r="246" spans="1:19" x14ac:dyDescent="0.25">
      <c r="A246" s="327"/>
      <c r="B246" s="327"/>
      <c r="C246" s="327"/>
      <c r="D246" s="327"/>
      <c r="E246" s="327"/>
      <c r="F246" s="327"/>
      <c r="G246" s="326" t="s">
        <v>13</v>
      </c>
      <c r="H246" s="326" t="s">
        <v>14</v>
      </c>
      <c r="I246" s="326" t="s">
        <v>15</v>
      </c>
      <c r="J246" s="326" t="s">
        <v>16</v>
      </c>
      <c r="K246" s="326" t="s">
        <v>17</v>
      </c>
      <c r="L246" s="327"/>
      <c r="M246" s="333"/>
      <c r="N246" s="333"/>
      <c r="O246" s="333"/>
      <c r="P246" s="320"/>
    </row>
    <row r="247" spans="1:19" x14ac:dyDescent="0.25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34"/>
      <c r="N247" s="334"/>
      <c r="O247" s="334"/>
      <c r="P247" s="321"/>
    </row>
    <row r="248" spans="1:19" ht="15.75" x14ac:dyDescent="0.25">
      <c r="A248" s="2" t="s">
        <v>18</v>
      </c>
      <c r="B248" s="2" t="s">
        <v>19</v>
      </c>
      <c r="C248" s="2"/>
      <c r="D248" s="2" t="s">
        <v>20</v>
      </c>
      <c r="E248" s="2" t="s">
        <v>21</v>
      </c>
      <c r="F248" s="2" t="s">
        <v>22</v>
      </c>
      <c r="G248" s="2" t="s">
        <v>23</v>
      </c>
      <c r="H248" s="2" t="s">
        <v>23</v>
      </c>
      <c r="I248" s="2" t="s">
        <v>24</v>
      </c>
      <c r="J248" s="2" t="s">
        <v>22</v>
      </c>
      <c r="K248" s="2" t="s">
        <v>24</v>
      </c>
      <c r="L248" s="2" t="s">
        <v>25</v>
      </c>
      <c r="M248" s="3" t="s">
        <v>25</v>
      </c>
      <c r="N248" s="3" t="s">
        <v>26</v>
      </c>
      <c r="O248" s="3" t="s">
        <v>27</v>
      </c>
      <c r="P248" s="2" t="s">
        <v>28</v>
      </c>
      <c r="S248">
        <f>613/1.2</f>
        <v>510.83333333333337</v>
      </c>
    </row>
    <row r="249" spans="1:19" ht="15.75" x14ac:dyDescent="0.25">
      <c r="A249" s="2">
        <v>1</v>
      </c>
      <c r="B249" s="4" t="s">
        <v>235</v>
      </c>
      <c r="C249" s="4"/>
      <c r="D249" s="2" t="s">
        <v>30</v>
      </c>
      <c r="E249" s="2">
        <v>2.2999999999999998</v>
      </c>
      <c r="F249" s="2">
        <v>55</v>
      </c>
      <c r="G249" s="5">
        <f>H249*100/F249</f>
        <v>145.45454545454547</v>
      </c>
      <c r="H249" s="2">
        <v>80</v>
      </c>
      <c r="I249" s="6">
        <f>1/(H249/(10*F249))</f>
        <v>6.875</v>
      </c>
      <c r="J249" s="2">
        <v>0</v>
      </c>
      <c r="K249" s="6">
        <f>I249-(I249/100*J249)</f>
        <v>6.875</v>
      </c>
      <c r="L249" s="7">
        <v>900</v>
      </c>
      <c r="M249" s="8">
        <f>L249*E249</f>
        <v>2070</v>
      </c>
      <c r="N249" s="9">
        <f>A249/K249</f>
        <v>0.14545454545454545</v>
      </c>
      <c r="O249" s="8">
        <f>E249*N249</f>
        <v>0.33454545454545448</v>
      </c>
      <c r="P249" s="10">
        <f>O249*L249</f>
        <v>301.09090909090901</v>
      </c>
    </row>
    <row r="250" spans="1:19" ht="15.75" x14ac:dyDescent="0.25">
      <c r="A250" s="2">
        <v>1</v>
      </c>
      <c r="B250" s="4" t="s">
        <v>236</v>
      </c>
      <c r="C250" s="4"/>
      <c r="D250" s="11" t="s">
        <v>30</v>
      </c>
      <c r="E250" s="2">
        <v>1.35</v>
      </c>
      <c r="F250" s="2">
        <v>57</v>
      </c>
      <c r="G250" s="5">
        <f>H250*100/F250</f>
        <v>210.52631578947367</v>
      </c>
      <c r="H250" s="2">
        <v>120</v>
      </c>
      <c r="I250" s="6">
        <f>1/(H250/(10*F250))</f>
        <v>4.75</v>
      </c>
      <c r="J250" s="2">
        <v>0</v>
      </c>
      <c r="K250" s="6">
        <f>I250-(I250/100*J250)</f>
        <v>4.75</v>
      </c>
      <c r="L250" s="7">
        <f>M250/E250</f>
        <v>581.14814814814815</v>
      </c>
      <c r="M250" s="8">
        <f>603.5*1.3</f>
        <v>784.55000000000007</v>
      </c>
      <c r="N250" s="9">
        <f>A250/K250</f>
        <v>0.21052631578947367</v>
      </c>
      <c r="O250" s="9">
        <f>E250*N250</f>
        <v>0.28421052631578947</v>
      </c>
      <c r="P250" s="10">
        <f>O250*L250</f>
        <v>165.16842105263157</v>
      </c>
      <c r="R250">
        <f>(550*17.5+2.5*978)/(17.5+2.5)</f>
        <v>603.5</v>
      </c>
    </row>
    <row r="251" spans="1:19" ht="15.75" x14ac:dyDescent="0.25">
      <c r="A251" s="283" t="s">
        <v>33</v>
      </c>
      <c r="B251" s="284"/>
      <c r="C251" s="284"/>
      <c r="D251" s="285"/>
      <c r="E251" s="2">
        <v>0.9</v>
      </c>
      <c r="F251" s="283">
        <v>5</v>
      </c>
      <c r="G251" s="284"/>
      <c r="H251" s="284"/>
      <c r="I251" s="285"/>
      <c r="J251" s="2"/>
      <c r="K251" s="2"/>
      <c r="L251" s="4">
        <v>420</v>
      </c>
      <c r="M251" s="12">
        <v>420</v>
      </c>
      <c r="N251" s="13">
        <f>N249*(F251/100)</f>
        <v>7.2727272727272727E-3</v>
      </c>
      <c r="O251" s="9">
        <f>E251*N251</f>
        <v>6.5454545454545453E-3</v>
      </c>
      <c r="P251" s="10">
        <f>N251*L251</f>
        <v>3.0545454545454547</v>
      </c>
    </row>
    <row r="252" spans="1:19" ht="15.75" x14ac:dyDescent="0.25">
      <c r="A252" s="283" t="s">
        <v>34</v>
      </c>
      <c r="B252" s="284"/>
      <c r="C252" s="284"/>
      <c r="D252" s="285"/>
      <c r="E252" s="2">
        <v>0.9</v>
      </c>
      <c r="F252" s="283">
        <v>5</v>
      </c>
      <c r="G252" s="284"/>
      <c r="H252" s="284"/>
      <c r="I252" s="285"/>
      <c r="J252" s="2"/>
      <c r="K252" s="2"/>
      <c r="L252" s="4">
        <v>420</v>
      </c>
      <c r="M252" s="12">
        <v>420</v>
      </c>
      <c r="N252" s="13">
        <f>N250*(F252/100)</f>
        <v>1.0526315789473684E-2</v>
      </c>
      <c r="O252" s="9">
        <f>E252*N252</f>
        <v>9.4736842105263164E-3</v>
      </c>
      <c r="P252" s="10">
        <f>N252*L252</f>
        <v>4.4210526315789469</v>
      </c>
    </row>
    <row r="253" spans="1:19" ht="15.75" x14ac:dyDescent="0.25">
      <c r="A253" s="2"/>
      <c r="B253" s="283" t="s">
        <v>35</v>
      </c>
      <c r="C253" s="284"/>
      <c r="D253" s="284"/>
      <c r="E253" s="284"/>
      <c r="F253" s="284"/>
      <c r="G253" s="285"/>
      <c r="H253" s="2">
        <f>SUM(H249:H250)</f>
        <v>200</v>
      </c>
      <c r="I253" s="283"/>
      <c r="J253" s="284"/>
      <c r="K253" s="284"/>
      <c r="L253" s="284"/>
      <c r="M253" s="284"/>
      <c r="N253" s="284"/>
      <c r="O253" s="285"/>
      <c r="P253" s="10">
        <f>SUM(P249:P252)</f>
        <v>473.734928229665</v>
      </c>
      <c r="S253">
        <f>P253/P243-1</f>
        <v>-0.22835450651199485</v>
      </c>
    </row>
    <row r="255" spans="1:19" ht="15.75" x14ac:dyDescent="0.25">
      <c r="A255" s="322" t="s">
        <v>0</v>
      </c>
      <c r="B255" s="322" t="s">
        <v>1</v>
      </c>
      <c r="C255" s="322" t="s">
        <v>2</v>
      </c>
      <c r="D255" s="322" t="s">
        <v>3</v>
      </c>
      <c r="E255" s="322" t="s">
        <v>4</v>
      </c>
      <c r="F255" s="322" t="s">
        <v>5</v>
      </c>
      <c r="G255" s="322" t="s">
        <v>6</v>
      </c>
      <c r="H255" s="322"/>
      <c r="I255" s="322" t="s">
        <v>7</v>
      </c>
      <c r="J255" s="322"/>
      <c r="K255" s="322"/>
      <c r="L255" s="322" t="s">
        <v>8</v>
      </c>
      <c r="M255" s="278" t="s">
        <v>9</v>
      </c>
      <c r="N255" s="278" t="s">
        <v>10</v>
      </c>
      <c r="O255" s="278" t="s">
        <v>11</v>
      </c>
      <c r="P255" s="362" t="s">
        <v>12</v>
      </c>
    </row>
    <row r="256" spans="1:19" x14ac:dyDescent="0.25">
      <c r="A256" s="322"/>
      <c r="B256" s="322"/>
      <c r="C256" s="322"/>
      <c r="D256" s="322"/>
      <c r="E256" s="322"/>
      <c r="F256" s="322"/>
      <c r="G256" s="322" t="s">
        <v>13</v>
      </c>
      <c r="H256" s="322" t="s">
        <v>14</v>
      </c>
      <c r="I256" s="322" t="s">
        <v>15</v>
      </c>
      <c r="J256" s="322" t="s">
        <v>16</v>
      </c>
      <c r="K256" s="322" t="s">
        <v>17</v>
      </c>
      <c r="L256" s="322"/>
      <c r="M256" s="278"/>
      <c r="N256" s="278"/>
      <c r="O256" s="278"/>
      <c r="P256" s="362"/>
    </row>
    <row r="257" spans="1:18" x14ac:dyDescent="0.25">
      <c r="A257" s="322"/>
      <c r="B257" s="322"/>
      <c r="C257" s="322"/>
      <c r="D257" s="322"/>
      <c r="E257" s="322"/>
      <c r="F257" s="322"/>
      <c r="G257" s="322"/>
      <c r="H257" s="322"/>
      <c r="I257" s="322"/>
      <c r="J257" s="322"/>
      <c r="K257" s="322"/>
      <c r="L257" s="322"/>
      <c r="M257" s="278"/>
      <c r="N257" s="278"/>
      <c r="O257" s="278"/>
      <c r="P257" s="362"/>
    </row>
    <row r="258" spans="1:18" ht="15.75" x14ac:dyDescent="0.25">
      <c r="A258" s="2" t="s">
        <v>18</v>
      </c>
      <c r="B258" s="2" t="s">
        <v>19</v>
      </c>
      <c r="C258" s="2"/>
      <c r="D258" s="2" t="s">
        <v>20</v>
      </c>
      <c r="E258" s="2" t="s">
        <v>21</v>
      </c>
      <c r="F258" s="2" t="s">
        <v>22</v>
      </c>
      <c r="G258" s="2" t="s">
        <v>23</v>
      </c>
      <c r="H258" s="2" t="s">
        <v>23</v>
      </c>
      <c r="I258" s="2" t="s">
        <v>24</v>
      </c>
      <c r="J258" s="2" t="s">
        <v>22</v>
      </c>
      <c r="K258" s="2" t="s">
        <v>24</v>
      </c>
      <c r="L258" s="2" t="s">
        <v>25</v>
      </c>
      <c r="M258" s="3" t="s">
        <v>25</v>
      </c>
      <c r="N258" s="3" t="s">
        <v>26</v>
      </c>
      <c r="O258" s="3" t="s">
        <v>27</v>
      </c>
      <c r="P258" s="2" t="s">
        <v>28</v>
      </c>
      <c r="R258">
        <f>650*1.3</f>
        <v>845</v>
      </c>
    </row>
    <row r="259" spans="1:18" ht="31.5" x14ac:dyDescent="0.25">
      <c r="A259" s="2">
        <v>1</v>
      </c>
      <c r="B259" s="4" t="s">
        <v>50</v>
      </c>
      <c r="C259" s="4" t="s">
        <v>48</v>
      </c>
      <c r="D259" s="2" t="s">
        <v>30</v>
      </c>
      <c r="E259" s="2">
        <v>2.4500000000000002</v>
      </c>
      <c r="F259" s="2">
        <v>67</v>
      </c>
      <c r="G259" s="5">
        <f>H259*100/F259</f>
        <v>119.40298507462687</v>
      </c>
      <c r="H259" s="2">
        <v>80</v>
      </c>
      <c r="I259" s="6">
        <f>1/(H259/(10*F259))</f>
        <v>8.375</v>
      </c>
      <c r="J259" s="2">
        <v>0</v>
      </c>
      <c r="K259" s="6">
        <f>I259-(I259/100*J259)</f>
        <v>8.375</v>
      </c>
      <c r="L259" s="7">
        <f>M259/E259</f>
        <v>1163.6734693877549</v>
      </c>
      <c r="M259" s="8">
        <v>2851</v>
      </c>
      <c r="N259" s="9">
        <f>A259/K259</f>
        <v>0.11940298507462686</v>
      </c>
      <c r="O259" s="8">
        <f>E259*N259</f>
        <v>0.29253731343283584</v>
      </c>
      <c r="P259" s="10">
        <f>O259*L259</f>
        <v>340.41791044776119</v>
      </c>
    </row>
    <row r="260" spans="1:18" ht="31.5" x14ac:dyDescent="0.25">
      <c r="A260" s="2">
        <v>1</v>
      </c>
      <c r="B260" s="4" t="s">
        <v>31</v>
      </c>
      <c r="C260" s="4" t="s">
        <v>32</v>
      </c>
      <c r="D260" s="11">
        <v>7037</v>
      </c>
      <c r="E260" s="2">
        <v>1.4</v>
      </c>
      <c r="F260" s="2">
        <v>63</v>
      </c>
      <c r="G260" s="5">
        <f>H260*100/F260</f>
        <v>79.365079365079367</v>
      </c>
      <c r="H260" s="2">
        <v>50</v>
      </c>
      <c r="I260" s="6">
        <f>1/(H260/(10*F260))</f>
        <v>12.600000000000001</v>
      </c>
      <c r="J260" s="2">
        <v>0</v>
      </c>
      <c r="K260" s="6">
        <f>I260-(I260/100*J260)</f>
        <v>12.600000000000001</v>
      </c>
      <c r="L260" s="7">
        <f>M260/E260</f>
        <v>964.28571428571433</v>
      </c>
      <c r="M260" s="8">
        <f>1350</f>
        <v>1350</v>
      </c>
      <c r="N260" s="9">
        <f>A260/K260</f>
        <v>7.9365079365079361E-2</v>
      </c>
      <c r="O260" s="9">
        <f>E260*N260</f>
        <v>0.11111111111111109</v>
      </c>
      <c r="P260" s="10">
        <f>O260*L260</f>
        <v>107.14285714285712</v>
      </c>
    </row>
    <row r="261" spans="1:18" ht="15.75" x14ac:dyDescent="0.25">
      <c r="A261" s="363" t="s">
        <v>33</v>
      </c>
      <c r="B261" s="363"/>
      <c r="C261" s="363"/>
      <c r="D261" s="363"/>
      <c r="E261" s="2">
        <v>0.9</v>
      </c>
      <c r="F261" s="363">
        <v>10</v>
      </c>
      <c r="G261" s="363"/>
      <c r="H261" s="363"/>
      <c r="I261" s="363"/>
      <c r="J261" s="2"/>
      <c r="K261" s="2"/>
      <c r="L261" s="4">
        <v>423</v>
      </c>
      <c r="M261" s="12">
        <v>423</v>
      </c>
      <c r="N261" s="13">
        <f>N259*(F261/100)</f>
        <v>1.1940298507462687E-2</v>
      </c>
      <c r="O261" s="9">
        <f>E261*N261</f>
        <v>1.0746268656716419E-2</v>
      </c>
      <c r="P261" s="10">
        <f>N261*L261</f>
        <v>5.0507462686567166</v>
      </c>
    </row>
    <row r="262" spans="1:18" ht="15.75" x14ac:dyDescent="0.25">
      <c r="A262" s="363" t="s">
        <v>34</v>
      </c>
      <c r="B262" s="363"/>
      <c r="C262" s="363"/>
      <c r="D262" s="363"/>
      <c r="E262" s="2">
        <v>0.9</v>
      </c>
      <c r="F262" s="363">
        <v>10</v>
      </c>
      <c r="G262" s="363"/>
      <c r="H262" s="363"/>
      <c r="I262" s="363"/>
      <c r="J262" s="2"/>
      <c r="K262" s="2"/>
      <c r="L262" s="4">
        <v>423</v>
      </c>
      <c r="M262" s="12">
        <v>423</v>
      </c>
      <c r="N262" s="13">
        <f>N260*(F262/100)</f>
        <v>7.9365079365079361E-3</v>
      </c>
      <c r="O262" s="9">
        <f>E262*N262</f>
        <v>7.1428571428571426E-3</v>
      </c>
      <c r="P262" s="10">
        <f>N262*L262</f>
        <v>3.3571428571428568</v>
      </c>
    </row>
    <row r="263" spans="1:18" ht="15.75" x14ac:dyDescent="0.25">
      <c r="A263" s="2"/>
      <c r="B263" s="363" t="s">
        <v>35</v>
      </c>
      <c r="C263" s="363"/>
      <c r="D263" s="363"/>
      <c r="E263" s="363"/>
      <c r="F263" s="363"/>
      <c r="G263" s="363"/>
      <c r="H263" s="2">
        <f>SUM(H259:H260)</f>
        <v>130</v>
      </c>
      <c r="I263" s="363"/>
      <c r="J263" s="363"/>
      <c r="K263" s="363"/>
      <c r="L263" s="363"/>
      <c r="M263" s="363"/>
      <c r="N263" s="363"/>
      <c r="O263" s="363"/>
      <c r="P263" s="10">
        <f>SUM(P259:P262)</f>
        <v>455.96865671641785</v>
      </c>
    </row>
    <row r="269" spans="1:18" x14ac:dyDescent="0.25">
      <c r="A269" s="378" t="s">
        <v>228</v>
      </c>
      <c r="B269" s="379"/>
      <c r="C269" s="379"/>
      <c r="D269" s="379"/>
      <c r="E269" s="379"/>
      <c r="F269" s="379"/>
      <c r="G269" s="379"/>
      <c r="H269" s="379"/>
      <c r="I269" s="379"/>
      <c r="J269" s="379"/>
      <c r="K269" s="379"/>
      <c r="L269" s="379"/>
      <c r="M269" s="379"/>
      <c r="N269" s="379"/>
      <c r="O269" s="379"/>
      <c r="P269" s="380"/>
    </row>
    <row r="270" spans="1:18" ht="15.75" x14ac:dyDescent="0.25">
      <c r="A270" s="322" t="s">
        <v>0</v>
      </c>
      <c r="B270" s="322" t="s">
        <v>1</v>
      </c>
      <c r="C270" s="322" t="s">
        <v>2</v>
      </c>
      <c r="D270" s="322" t="s">
        <v>3</v>
      </c>
      <c r="E270" s="322" t="s">
        <v>4</v>
      </c>
      <c r="F270" s="322" t="s">
        <v>5</v>
      </c>
      <c r="G270" s="322" t="s">
        <v>6</v>
      </c>
      <c r="H270" s="322"/>
      <c r="I270" s="322" t="s">
        <v>7</v>
      </c>
      <c r="J270" s="322"/>
      <c r="K270" s="322"/>
      <c r="L270" s="322" t="s">
        <v>8</v>
      </c>
      <c r="M270" s="278" t="s">
        <v>9</v>
      </c>
      <c r="N270" s="278" t="s">
        <v>10</v>
      </c>
      <c r="O270" s="278" t="s">
        <v>389</v>
      </c>
      <c r="P270" s="362" t="s">
        <v>12</v>
      </c>
    </row>
    <row r="271" spans="1:18" x14ac:dyDescent="0.25">
      <c r="A271" s="322"/>
      <c r="B271" s="322"/>
      <c r="C271" s="322"/>
      <c r="D271" s="322"/>
      <c r="E271" s="322"/>
      <c r="F271" s="322"/>
      <c r="G271" s="322" t="s">
        <v>13</v>
      </c>
      <c r="H271" s="322" t="s">
        <v>14</v>
      </c>
      <c r="I271" s="322" t="s">
        <v>15</v>
      </c>
      <c r="J271" s="322" t="s">
        <v>16</v>
      </c>
      <c r="K271" s="322" t="s">
        <v>17</v>
      </c>
      <c r="L271" s="322"/>
      <c r="M271" s="278"/>
      <c r="N271" s="278"/>
      <c r="O271" s="278"/>
      <c r="P271" s="362"/>
    </row>
    <row r="272" spans="1:18" x14ac:dyDescent="0.25">
      <c r="A272" s="322"/>
      <c r="B272" s="322"/>
      <c r="C272" s="322"/>
      <c r="D272" s="322"/>
      <c r="E272" s="322"/>
      <c r="F272" s="322"/>
      <c r="G272" s="322"/>
      <c r="H272" s="322"/>
      <c r="I272" s="322"/>
      <c r="J272" s="322"/>
      <c r="K272" s="322"/>
      <c r="L272" s="322"/>
      <c r="M272" s="278"/>
      <c r="N272" s="278"/>
      <c r="O272" s="278"/>
      <c r="P272" s="362"/>
    </row>
    <row r="273" spans="1:16" ht="15.75" x14ac:dyDescent="0.25">
      <c r="A273" s="2" t="s">
        <v>18</v>
      </c>
      <c r="B273" s="2" t="s">
        <v>19</v>
      </c>
      <c r="C273" s="2"/>
      <c r="D273" s="2" t="s">
        <v>20</v>
      </c>
      <c r="E273" s="2" t="s">
        <v>21</v>
      </c>
      <c r="F273" s="2" t="s">
        <v>22</v>
      </c>
      <c r="G273" s="2" t="s">
        <v>23</v>
      </c>
      <c r="H273" s="2" t="s">
        <v>23</v>
      </c>
      <c r="I273" s="2" t="s">
        <v>24</v>
      </c>
      <c r="J273" s="2" t="s">
        <v>22</v>
      </c>
      <c r="K273" s="2" t="s">
        <v>24</v>
      </c>
      <c r="L273" s="2" t="s">
        <v>25</v>
      </c>
      <c r="M273" s="3" t="s">
        <v>25</v>
      </c>
      <c r="N273" s="3" t="s">
        <v>26</v>
      </c>
      <c r="O273" s="3" t="s">
        <v>27</v>
      </c>
      <c r="P273" s="2" t="s">
        <v>28</v>
      </c>
    </row>
    <row r="274" spans="1:16" ht="31.5" x14ac:dyDescent="0.25">
      <c r="A274" s="2">
        <v>1</v>
      </c>
      <c r="B274" s="4" t="s">
        <v>50</v>
      </c>
      <c r="C274" s="4" t="s">
        <v>227</v>
      </c>
      <c r="D274" s="2" t="s">
        <v>30</v>
      </c>
      <c r="E274" s="2">
        <v>2.4500000000000002</v>
      </c>
      <c r="F274" s="2">
        <v>67</v>
      </c>
      <c r="G274" s="5">
        <f>H274*100/F274</f>
        <v>89.552238805970148</v>
      </c>
      <c r="H274" s="2">
        <v>60</v>
      </c>
      <c r="I274" s="6">
        <f>1/(H274/(10*F274))</f>
        <v>11.166666666666668</v>
      </c>
      <c r="J274" s="2">
        <v>30</v>
      </c>
      <c r="K274" s="6">
        <f>I274-(I274/100*J274)</f>
        <v>7.8166666666666673</v>
      </c>
      <c r="L274" s="7">
        <v>1200</v>
      </c>
      <c r="M274" s="8">
        <f>L274*E274</f>
        <v>2940</v>
      </c>
      <c r="N274" s="9">
        <f>A274/K274</f>
        <v>0.12793176972281448</v>
      </c>
      <c r="O274" s="8">
        <f t="shared" ref="O274:O279" si="3">E274*N274</f>
        <v>0.31343283582089548</v>
      </c>
      <c r="P274" s="10">
        <f>O274*L274</f>
        <v>376.1194029850746</v>
      </c>
    </row>
    <row r="275" spans="1:16" ht="47.25" x14ac:dyDescent="0.25">
      <c r="A275" s="2">
        <v>1</v>
      </c>
      <c r="B275" s="4" t="s">
        <v>226</v>
      </c>
      <c r="C275" s="4" t="s">
        <v>388</v>
      </c>
      <c r="D275" s="2" t="s">
        <v>30</v>
      </c>
      <c r="E275" s="2">
        <v>1.5</v>
      </c>
      <c r="F275" s="2">
        <v>74</v>
      </c>
      <c r="G275" s="5">
        <f>H275*100/F275</f>
        <v>189.18918918918919</v>
      </c>
      <c r="H275" s="2">
        <v>140</v>
      </c>
      <c r="I275" s="6">
        <f>1/(H275/(10*F275))</f>
        <v>5.2857142857142856</v>
      </c>
      <c r="J275" s="2">
        <v>30</v>
      </c>
      <c r="K275" s="6">
        <f>I275-(I275/100*J275)</f>
        <v>3.7</v>
      </c>
      <c r="L275" s="7">
        <v>660</v>
      </c>
      <c r="M275" s="8">
        <f t="shared" ref="M275:M276" si="4">L275*E275</f>
        <v>990</v>
      </c>
      <c r="N275" s="9">
        <f>A275/K275</f>
        <v>0.27027027027027023</v>
      </c>
      <c r="O275" s="8">
        <f t="shared" si="3"/>
        <v>0.40540540540540537</v>
      </c>
      <c r="P275" s="10">
        <f>O275*L275</f>
        <v>267.56756756756755</v>
      </c>
    </row>
    <row r="276" spans="1:16" ht="15.75" x14ac:dyDescent="0.25">
      <c r="A276" s="2">
        <v>1</v>
      </c>
      <c r="B276" s="4" t="s">
        <v>387</v>
      </c>
      <c r="C276" s="4" t="s">
        <v>32</v>
      </c>
      <c r="D276" s="11">
        <v>7004</v>
      </c>
      <c r="E276" s="2">
        <v>1.35</v>
      </c>
      <c r="F276" s="2">
        <v>58</v>
      </c>
      <c r="G276" s="5">
        <f>H276*100/F276</f>
        <v>103.44827586206897</v>
      </c>
      <c r="H276" s="2">
        <v>60</v>
      </c>
      <c r="I276" s="6">
        <f>1/(H276/(10*F276))</f>
        <v>9.6666666666666661</v>
      </c>
      <c r="J276" s="2">
        <v>30</v>
      </c>
      <c r="K276" s="6">
        <f>I276-(I276/100*J276)</f>
        <v>6.7666666666666657</v>
      </c>
      <c r="L276" s="7">
        <v>900</v>
      </c>
      <c r="M276" s="8">
        <f t="shared" si="4"/>
        <v>1215</v>
      </c>
      <c r="N276" s="9">
        <f>A276/K276</f>
        <v>0.14778325123152711</v>
      </c>
      <c r="O276" s="9">
        <f t="shared" si="3"/>
        <v>0.19950738916256161</v>
      </c>
      <c r="P276" s="10">
        <f>O276*L276</f>
        <v>179.55665024630545</v>
      </c>
    </row>
    <row r="277" spans="1:16" ht="15.75" hidden="1" x14ac:dyDescent="0.25">
      <c r="A277" s="363" t="s">
        <v>33</v>
      </c>
      <c r="B277" s="363"/>
      <c r="C277" s="363"/>
      <c r="D277" s="363"/>
      <c r="E277" s="2">
        <v>0.9</v>
      </c>
      <c r="F277" s="363">
        <v>10</v>
      </c>
      <c r="G277" s="363"/>
      <c r="H277" s="363"/>
      <c r="I277" s="363"/>
      <c r="J277" s="2"/>
      <c r="K277" s="2"/>
      <c r="L277" s="4">
        <v>0</v>
      </c>
      <c r="M277" s="12">
        <v>0</v>
      </c>
      <c r="N277" s="13">
        <f>N274*(F277/100)</f>
        <v>1.2793176972281448E-2</v>
      </c>
      <c r="O277" s="9">
        <f t="shared" si="3"/>
        <v>1.1513859275053303E-2</v>
      </c>
      <c r="P277" s="10">
        <f>N277*L277</f>
        <v>0</v>
      </c>
    </row>
    <row r="278" spans="1:16" ht="15.75" hidden="1" x14ac:dyDescent="0.25">
      <c r="A278" s="363" t="s">
        <v>33</v>
      </c>
      <c r="B278" s="363"/>
      <c r="C278" s="363"/>
      <c r="D278" s="363"/>
      <c r="E278" s="2">
        <v>0.9</v>
      </c>
      <c r="F278" s="363">
        <v>10</v>
      </c>
      <c r="G278" s="363"/>
      <c r="H278" s="363"/>
      <c r="I278" s="363"/>
      <c r="J278" s="2"/>
      <c r="K278" s="2"/>
      <c r="L278" s="4">
        <v>0</v>
      </c>
      <c r="M278" s="12">
        <v>0</v>
      </c>
      <c r="N278" s="13">
        <f>N276*(F278/100)</f>
        <v>1.4778325123152712E-2</v>
      </c>
      <c r="O278" s="9">
        <f t="shared" si="3"/>
        <v>1.3300492610837442E-2</v>
      </c>
      <c r="P278" s="10">
        <f>N278*L278</f>
        <v>0</v>
      </c>
    </row>
    <row r="279" spans="1:16" ht="15.75" hidden="1" x14ac:dyDescent="0.25">
      <c r="A279" s="363" t="s">
        <v>34</v>
      </c>
      <c r="B279" s="363"/>
      <c r="C279" s="363"/>
      <c r="D279" s="363"/>
      <c r="E279" s="2">
        <v>0.9</v>
      </c>
      <c r="F279" s="363">
        <v>10</v>
      </c>
      <c r="G279" s="363"/>
      <c r="H279" s="363"/>
      <c r="I279" s="363"/>
      <c r="J279" s="2"/>
      <c r="K279" s="2"/>
      <c r="L279" s="4">
        <v>0</v>
      </c>
      <c r="M279" s="12">
        <v>0</v>
      </c>
      <c r="N279" s="13">
        <f>N276*(F279/100)</f>
        <v>1.4778325123152712E-2</v>
      </c>
      <c r="O279" s="9">
        <f t="shared" si="3"/>
        <v>1.3300492610837442E-2</v>
      </c>
      <c r="P279" s="10">
        <f>N279*L279</f>
        <v>0</v>
      </c>
    </row>
    <row r="280" spans="1:16" ht="15.75" x14ac:dyDescent="0.25">
      <c r="A280" s="2"/>
      <c r="B280" s="363" t="s">
        <v>35</v>
      </c>
      <c r="C280" s="363"/>
      <c r="D280" s="363"/>
      <c r="E280" s="363"/>
      <c r="F280" s="363"/>
      <c r="G280" s="363"/>
      <c r="H280" s="2">
        <f>SUM(H274:H276)</f>
        <v>260</v>
      </c>
      <c r="I280" s="363"/>
      <c r="J280" s="363"/>
      <c r="K280" s="363"/>
      <c r="L280" s="363"/>
      <c r="M280" s="363"/>
      <c r="N280" s="363"/>
      <c r="O280" s="363"/>
      <c r="P280" s="10">
        <f>SUM(P274:P279)</f>
        <v>823.24362079894763</v>
      </c>
    </row>
    <row r="283" spans="1:16" x14ac:dyDescent="0.25">
      <c r="A283" s="378" t="s">
        <v>228</v>
      </c>
      <c r="B283" s="379"/>
      <c r="C283" s="379"/>
      <c r="D283" s="379"/>
      <c r="E283" s="379"/>
      <c r="F283" s="379"/>
      <c r="G283" s="379"/>
      <c r="H283" s="379"/>
      <c r="I283" s="379"/>
      <c r="J283" s="379"/>
      <c r="K283" s="379"/>
      <c r="L283" s="379"/>
      <c r="M283" s="379"/>
      <c r="N283" s="379"/>
      <c r="O283" s="379"/>
      <c r="P283" s="380"/>
    </row>
    <row r="284" spans="1:16" ht="15.75" x14ac:dyDescent="0.25">
      <c r="A284" s="322" t="s">
        <v>0</v>
      </c>
      <c r="B284" s="322" t="s">
        <v>1</v>
      </c>
      <c r="C284" s="322" t="s">
        <v>2</v>
      </c>
      <c r="D284" s="322" t="s">
        <v>3</v>
      </c>
      <c r="E284" s="322" t="s">
        <v>4</v>
      </c>
      <c r="F284" s="322" t="s">
        <v>5</v>
      </c>
      <c r="G284" s="322" t="s">
        <v>6</v>
      </c>
      <c r="H284" s="322"/>
      <c r="I284" s="322" t="s">
        <v>7</v>
      </c>
      <c r="J284" s="322"/>
      <c r="K284" s="322"/>
      <c r="L284" s="322" t="s">
        <v>8</v>
      </c>
      <c r="M284" s="278" t="s">
        <v>9</v>
      </c>
      <c r="N284" s="278" t="s">
        <v>10</v>
      </c>
      <c r="O284" s="278" t="s">
        <v>11</v>
      </c>
      <c r="P284" s="362" t="s">
        <v>12</v>
      </c>
    </row>
    <row r="285" spans="1:16" x14ac:dyDescent="0.25">
      <c r="A285" s="322"/>
      <c r="B285" s="322"/>
      <c r="C285" s="322"/>
      <c r="D285" s="322"/>
      <c r="E285" s="322"/>
      <c r="F285" s="322"/>
      <c r="G285" s="322" t="s">
        <v>13</v>
      </c>
      <c r="H285" s="322" t="s">
        <v>14</v>
      </c>
      <c r="I285" s="322" t="s">
        <v>15</v>
      </c>
      <c r="J285" s="322" t="s">
        <v>16</v>
      </c>
      <c r="K285" s="322" t="s">
        <v>17</v>
      </c>
      <c r="L285" s="322"/>
      <c r="M285" s="278"/>
      <c r="N285" s="278"/>
      <c r="O285" s="278"/>
      <c r="P285" s="362"/>
    </row>
    <row r="286" spans="1:16" x14ac:dyDescent="0.25">
      <c r="A286" s="322"/>
      <c r="B286" s="322"/>
      <c r="C286" s="322"/>
      <c r="D286" s="322"/>
      <c r="E286" s="322"/>
      <c r="F286" s="322"/>
      <c r="G286" s="322"/>
      <c r="H286" s="322"/>
      <c r="I286" s="322"/>
      <c r="J286" s="322"/>
      <c r="K286" s="322"/>
      <c r="L286" s="322"/>
      <c r="M286" s="278"/>
      <c r="N286" s="278"/>
      <c r="O286" s="278"/>
      <c r="P286" s="362"/>
    </row>
    <row r="287" spans="1:16" ht="15.75" x14ac:dyDescent="0.25">
      <c r="A287" s="2" t="s">
        <v>18</v>
      </c>
      <c r="B287" s="2" t="s">
        <v>19</v>
      </c>
      <c r="C287" s="2"/>
      <c r="D287" s="2" t="s">
        <v>20</v>
      </c>
      <c r="E287" s="2" t="s">
        <v>21</v>
      </c>
      <c r="F287" s="2" t="s">
        <v>22</v>
      </c>
      <c r="G287" s="2" t="s">
        <v>23</v>
      </c>
      <c r="H287" s="2" t="s">
        <v>23</v>
      </c>
      <c r="I287" s="2" t="s">
        <v>24</v>
      </c>
      <c r="J287" s="2" t="s">
        <v>22</v>
      </c>
      <c r="K287" s="2" t="s">
        <v>24</v>
      </c>
      <c r="L287" s="2" t="s">
        <v>25</v>
      </c>
      <c r="M287" s="3" t="s">
        <v>25</v>
      </c>
      <c r="N287" s="3" t="s">
        <v>26</v>
      </c>
      <c r="O287" s="3" t="s">
        <v>27</v>
      </c>
      <c r="P287" s="2" t="s">
        <v>28</v>
      </c>
    </row>
    <row r="288" spans="1:16" ht="31.5" x14ac:dyDescent="0.25">
      <c r="A288" s="2">
        <v>1</v>
      </c>
      <c r="B288" s="4" t="s">
        <v>50</v>
      </c>
      <c r="C288" s="4" t="s">
        <v>227</v>
      </c>
      <c r="D288" s="2" t="s">
        <v>30</v>
      </c>
      <c r="E288" s="2">
        <v>2.4500000000000002</v>
      </c>
      <c r="F288" s="2">
        <v>67</v>
      </c>
      <c r="G288" s="5">
        <f>H288*100/F288</f>
        <v>111.94029850746269</v>
      </c>
      <c r="H288" s="2">
        <v>75</v>
      </c>
      <c r="I288" s="6">
        <f>1/(H288/(10*F288))</f>
        <v>8.9333333333333336</v>
      </c>
      <c r="J288" s="2">
        <v>0</v>
      </c>
      <c r="K288" s="6">
        <f>I288-(I288/100*J288)</f>
        <v>8.9333333333333336</v>
      </c>
      <c r="L288" s="7">
        <f>M288/E288</f>
        <v>1265.3061224489795</v>
      </c>
      <c r="M288" s="8">
        <v>3100</v>
      </c>
      <c r="N288" s="9">
        <f>A288/K288</f>
        <v>0.11194029850746269</v>
      </c>
      <c r="O288" s="8">
        <f t="shared" ref="O288:O293" si="5">E288*N288</f>
        <v>0.27425373134328362</v>
      </c>
      <c r="P288" s="10">
        <f>O288*L288</f>
        <v>347.01492537313436</v>
      </c>
    </row>
    <row r="289" spans="1:16" ht="31.5" x14ac:dyDescent="0.25">
      <c r="A289" s="2">
        <v>1</v>
      </c>
      <c r="B289" s="4" t="s">
        <v>226</v>
      </c>
      <c r="C289" s="4" t="s">
        <v>48</v>
      </c>
      <c r="D289" s="2" t="s">
        <v>30</v>
      </c>
      <c r="E289" s="2">
        <v>1.5</v>
      </c>
      <c r="F289" s="2">
        <v>74</v>
      </c>
      <c r="G289" s="5">
        <f>H289*100/F289</f>
        <v>168.91891891891891</v>
      </c>
      <c r="H289" s="2">
        <v>125</v>
      </c>
      <c r="I289" s="6">
        <f>1/(H289/(10*F289))</f>
        <v>5.92</v>
      </c>
      <c r="J289" s="2">
        <v>0</v>
      </c>
      <c r="K289" s="6">
        <f>I289-(I289/100*J289)</f>
        <v>5.92</v>
      </c>
      <c r="L289" s="7">
        <f>M289/E289</f>
        <v>653.33333333333337</v>
      </c>
      <c r="M289" s="8">
        <v>980</v>
      </c>
      <c r="N289" s="9">
        <f>A289/K289</f>
        <v>0.16891891891891891</v>
      </c>
      <c r="O289" s="8">
        <f t="shared" si="5"/>
        <v>0.2533783783783784</v>
      </c>
      <c r="P289" s="10">
        <f>O289*L289</f>
        <v>165.54054054054058</v>
      </c>
    </row>
    <row r="290" spans="1:16" ht="31.5" x14ac:dyDescent="0.25">
      <c r="A290" s="2">
        <v>1</v>
      </c>
      <c r="B290" s="4" t="s">
        <v>31</v>
      </c>
      <c r="C290" s="4" t="s">
        <v>32</v>
      </c>
      <c r="D290" s="11">
        <v>3020</v>
      </c>
      <c r="E290" s="2">
        <v>1.4</v>
      </c>
      <c r="F290" s="2">
        <v>63</v>
      </c>
      <c r="G290" s="5">
        <f>H290*100/F290</f>
        <v>79.365079365079367</v>
      </c>
      <c r="H290" s="2">
        <v>50</v>
      </c>
      <c r="I290" s="6">
        <f>1/(H290/(10*F290))</f>
        <v>12.600000000000001</v>
      </c>
      <c r="J290" s="2">
        <v>0</v>
      </c>
      <c r="K290" s="6">
        <f>I290-(I290/100*J290)</f>
        <v>12.600000000000001</v>
      </c>
      <c r="L290" s="7">
        <f>M290/E290</f>
        <v>1177.1428571428571</v>
      </c>
      <c r="M290" s="8">
        <v>1648</v>
      </c>
      <c r="N290" s="9">
        <f>A290/K290</f>
        <v>7.9365079365079361E-2</v>
      </c>
      <c r="O290" s="9">
        <f t="shared" si="5"/>
        <v>0.11111111111111109</v>
      </c>
      <c r="P290" s="10">
        <f>O290*L290</f>
        <v>130.79365079365076</v>
      </c>
    </row>
    <row r="291" spans="1:16" ht="15.75" hidden="1" x14ac:dyDescent="0.25">
      <c r="A291" s="363" t="s">
        <v>33</v>
      </c>
      <c r="B291" s="363"/>
      <c r="C291" s="363"/>
      <c r="D291" s="363"/>
      <c r="E291" s="2">
        <v>0.9</v>
      </c>
      <c r="F291" s="363">
        <v>10</v>
      </c>
      <c r="G291" s="363"/>
      <c r="H291" s="363"/>
      <c r="I291" s="363"/>
      <c r="J291" s="2"/>
      <c r="K291" s="2"/>
      <c r="L291" s="4">
        <v>0</v>
      </c>
      <c r="M291" s="12">
        <v>0</v>
      </c>
      <c r="N291" s="13">
        <f>N288*(F291/100)</f>
        <v>1.119402985074627E-2</v>
      </c>
      <c r="O291" s="9">
        <f t="shared" si="5"/>
        <v>1.0074626865671643E-2</v>
      </c>
      <c r="P291" s="10">
        <f>N291*L291</f>
        <v>0</v>
      </c>
    </row>
    <row r="292" spans="1:16" ht="15.75" hidden="1" x14ac:dyDescent="0.25">
      <c r="A292" s="363" t="s">
        <v>33</v>
      </c>
      <c r="B292" s="363"/>
      <c r="C292" s="363"/>
      <c r="D292" s="363"/>
      <c r="E292" s="2">
        <v>0.9</v>
      </c>
      <c r="F292" s="363">
        <v>10</v>
      </c>
      <c r="G292" s="363"/>
      <c r="H292" s="363"/>
      <c r="I292" s="363"/>
      <c r="J292" s="2"/>
      <c r="K292" s="2"/>
      <c r="L292" s="4">
        <v>0</v>
      </c>
      <c r="M292" s="12">
        <v>0</v>
      </c>
      <c r="N292" s="13">
        <f>N290*(F292/100)</f>
        <v>7.9365079365079361E-3</v>
      </c>
      <c r="O292" s="9">
        <f t="shared" si="5"/>
        <v>7.1428571428571426E-3</v>
      </c>
      <c r="P292" s="10">
        <f>N292*L292</f>
        <v>0</v>
      </c>
    </row>
    <row r="293" spans="1:16" ht="15.75" hidden="1" x14ac:dyDescent="0.25">
      <c r="A293" s="363" t="s">
        <v>34</v>
      </c>
      <c r="B293" s="363"/>
      <c r="C293" s="363"/>
      <c r="D293" s="363"/>
      <c r="E293" s="2">
        <v>0.9</v>
      </c>
      <c r="F293" s="363">
        <v>10</v>
      </c>
      <c r="G293" s="363"/>
      <c r="H293" s="363"/>
      <c r="I293" s="363"/>
      <c r="J293" s="2"/>
      <c r="K293" s="2"/>
      <c r="L293" s="4">
        <v>0</v>
      </c>
      <c r="M293" s="12">
        <v>0</v>
      </c>
      <c r="N293" s="13">
        <f>N290*(F293/100)</f>
        <v>7.9365079365079361E-3</v>
      </c>
      <c r="O293" s="9">
        <f t="shared" si="5"/>
        <v>7.1428571428571426E-3</v>
      </c>
      <c r="P293" s="10">
        <f>N293*L293</f>
        <v>0</v>
      </c>
    </row>
    <row r="294" spans="1:16" ht="15.75" x14ac:dyDescent="0.25">
      <c r="A294" s="2"/>
      <c r="B294" s="363" t="s">
        <v>35</v>
      </c>
      <c r="C294" s="363"/>
      <c r="D294" s="363"/>
      <c r="E294" s="363"/>
      <c r="F294" s="363"/>
      <c r="G294" s="363"/>
      <c r="H294" s="2">
        <f>SUM(H288:H290)</f>
        <v>250</v>
      </c>
      <c r="I294" s="363"/>
      <c r="J294" s="363"/>
      <c r="K294" s="363"/>
      <c r="L294" s="363"/>
      <c r="M294" s="363"/>
      <c r="N294" s="363"/>
      <c r="O294" s="363"/>
      <c r="P294" s="10">
        <f>SUM(P288:P293)</f>
        <v>643.34911670732561</v>
      </c>
    </row>
    <row r="298" spans="1:16" x14ac:dyDescent="0.25">
      <c r="A298" s="378" t="s">
        <v>229</v>
      </c>
      <c r="B298" s="379"/>
      <c r="C298" s="379"/>
      <c r="D298" s="379"/>
      <c r="E298" s="379"/>
      <c r="F298" s="379"/>
      <c r="G298" s="379"/>
      <c r="H298" s="379"/>
      <c r="I298" s="379"/>
      <c r="J298" s="379"/>
      <c r="K298" s="379"/>
      <c r="L298" s="379"/>
      <c r="M298" s="379"/>
      <c r="N298" s="379"/>
      <c r="O298" s="379"/>
      <c r="P298" s="380"/>
    </row>
    <row r="299" spans="1:16" ht="15.75" x14ac:dyDescent="0.25">
      <c r="A299" s="322" t="s">
        <v>0</v>
      </c>
      <c r="B299" s="322" t="s">
        <v>1</v>
      </c>
      <c r="C299" s="322" t="s">
        <v>2</v>
      </c>
      <c r="D299" s="322" t="s">
        <v>3</v>
      </c>
      <c r="E299" s="322" t="s">
        <v>4</v>
      </c>
      <c r="F299" s="322" t="s">
        <v>5</v>
      </c>
      <c r="G299" s="322" t="s">
        <v>6</v>
      </c>
      <c r="H299" s="322"/>
      <c r="I299" s="322" t="s">
        <v>7</v>
      </c>
      <c r="J299" s="322"/>
      <c r="K299" s="322"/>
      <c r="L299" s="322" t="s">
        <v>8</v>
      </c>
      <c r="M299" s="278" t="s">
        <v>9</v>
      </c>
      <c r="N299" s="278" t="s">
        <v>10</v>
      </c>
      <c r="O299" s="278" t="s">
        <v>11</v>
      </c>
      <c r="P299" s="362" t="s">
        <v>12</v>
      </c>
    </row>
    <row r="300" spans="1:16" x14ac:dyDescent="0.25">
      <c r="A300" s="322"/>
      <c r="B300" s="322"/>
      <c r="C300" s="322"/>
      <c r="D300" s="322"/>
      <c r="E300" s="322"/>
      <c r="F300" s="322"/>
      <c r="G300" s="322" t="s">
        <v>13</v>
      </c>
      <c r="H300" s="322" t="s">
        <v>14</v>
      </c>
      <c r="I300" s="322" t="s">
        <v>15</v>
      </c>
      <c r="J300" s="322" t="s">
        <v>16</v>
      </c>
      <c r="K300" s="322" t="s">
        <v>17</v>
      </c>
      <c r="L300" s="322"/>
      <c r="M300" s="278"/>
      <c r="N300" s="278"/>
      <c r="O300" s="278"/>
      <c r="P300" s="362"/>
    </row>
    <row r="301" spans="1:16" x14ac:dyDescent="0.25">
      <c r="A301" s="322"/>
      <c r="B301" s="322"/>
      <c r="C301" s="322"/>
      <c r="D301" s="322"/>
      <c r="E301" s="322"/>
      <c r="F301" s="322"/>
      <c r="G301" s="322"/>
      <c r="H301" s="322"/>
      <c r="I301" s="322"/>
      <c r="J301" s="322"/>
      <c r="K301" s="322"/>
      <c r="L301" s="322"/>
      <c r="M301" s="278"/>
      <c r="N301" s="278"/>
      <c r="O301" s="278"/>
      <c r="P301" s="362"/>
    </row>
    <row r="302" spans="1:16" ht="15.75" x14ac:dyDescent="0.25">
      <c r="A302" s="2" t="s">
        <v>18</v>
      </c>
      <c r="B302" s="2" t="s">
        <v>19</v>
      </c>
      <c r="C302" s="2"/>
      <c r="D302" s="2" t="s">
        <v>20</v>
      </c>
      <c r="E302" s="2" t="s">
        <v>21</v>
      </c>
      <c r="F302" s="2" t="s">
        <v>22</v>
      </c>
      <c r="G302" s="2" t="s">
        <v>23</v>
      </c>
      <c r="H302" s="2" t="s">
        <v>23</v>
      </c>
      <c r="I302" s="2" t="s">
        <v>24</v>
      </c>
      <c r="J302" s="2" t="s">
        <v>22</v>
      </c>
      <c r="K302" s="2" t="s">
        <v>24</v>
      </c>
      <c r="L302" s="2" t="s">
        <v>25</v>
      </c>
      <c r="M302" s="3" t="s">
        <v>25</v>
      </c>
      <c r="N302" s="3" t="s">
        <v>26</v>
      </c>
      <c r="O302" s="3" t="s">
        <v>27</v>
      </c>
      <c r="P302" s="2" t="s">
        <v>28</v>
      </c>
    </row>
    <row r="303" spans="1:16" ht="31.5" x14ac:dyDescent="0.25">
      <c r="A303" s="2">
        <v>1</v>
      </c>
      <c r="B303" s="4" t="s">
        <v>230</v>
      </c>
      <c r="C303" s="4" t="s">
        <v>227</v>
      </c>
      <c r="D303" s="2" t="s">
        <v>30</v>
      </c>
      <c r="E303" s="2">
        <v>2.9</v>
      </c>
      <c r="F303" s="2">
        <v>58</v>
      </c>
      <c r="G303" s="5">
        <f>H303*100/F303</f>
        <v>129.31034482758622</v>
      </c>
      <c r="H303" s="2">
        <v>75</v>
      </c>
      <c r="I303" s="6">
        <f>1/(H303/(10*F303))</f>
        <v>7.7333333333333325</v>
      </c>
      <c r="J303" s="2">
        <v>0</v>
      </c>
      <c r="K303" s="6">
        <f>I303-(I303/100*J303)</f>
        <v>7.7333333333333325</v>
      </c>
      <c r="L303" s="7">
        <v>820</v>
      </c>
      <c r="M303" s="8">
        <f>L303*E303</f>
        <v>2378</v>
      </c>
      <c r="N303" s="9">
        <f>A303/K303</f>
        <v>0.12931034482758622</v>
      </c>
      <c r="O303" s="8">
        <f t="shared" ref="O303:O308" si="6">E303*N303</f>
        <v>0.375</v>
      </c>
      <c r="P303" s="10">
        <f>O303*L303</f>
        <v>307.5</v>
      </c>
    </row>
    <row r="304" spans="1:16" ht="31.5" x14ac:dyDescent="0.25">
      <c r="A304" s="2">
        <v>1</v>
      </c>
      <c r="B304" s="4" t="s">
        <v>231</v>
      </c>
      <c r="C304" s="4" t="s">
        <v>48</v>
      </c>
      <c r="D304" s="2" t="s">
        <v>30</v>
      </c>
      <c r="E304" s="2">
        <v>1.6</v>
      </c>
      <c r="F304" s="2">
        <v>73</v>
      </c>
      <c r="G304" s="5">
        <f>H304*100/F304</f>
        <v>171.23287671232876</v>
      </c>
      <c r="H304" s="2">
        <v>125</v>
      </c>
      <c r="I304" s="6">
        <f>1/(H304/(10*F304))</f>
        <v>5.8400000000000007</v>
      </c>
      <c r="J304" s="2">
        <v>0</v>
      </c>
      <c r="K304" s="6">
        <f>I304-(I304/100*J304)</f>
        <v>5.8400000000000007</v>
      </c>
      <c r="L304" s="7">
        <v>560</v>
      </c>
      <c r="M304" s="8">
        <f>L304*E304</f>
        <v>896</v>
      </c>
      <c r="N304" s="9">
        <f>A304/K304</f>
        <v>0.17123287671232876</v>
      </c>
      <c r="O304" s="8">
        <f t="shared" si="6"/>
        <v>0.27397260273972601</v>
      </c>
      <c r="P304" s="10">
        <f>O304*L304</f>
        <v>153.42465753424656</v>
      </c>
    </row>
    <row r="305" spans="1:16" ht="15.75" x14ac:dyDescent="0.25">
      <c r="A305" s="2">
        <v>1</v>
      </c>
      <c r="B305" s="4" t="s">
        <v>232</v>
      </c>
      <c r="C305" s="4" t="s">
        <v>32</v>
      </c>
      <c r="D305" s="11">
        <v>9003</v>
      </c>
      <c r="E305" s="2">
        <v>1.3</v>
      </c>
      <c r="F305" s="2">
        <v>58</v>
      </c>
      <c r="G305" s="5">
        <f>H305*100/F305</f>
        <v>86.206896551724142</v>
      </c>
      <c r="H305" s="2">
        <v>50</v>
      </c>
      <c r="I305" s="6">
        <f>1/(H305/(10*F305))</f>
        <v>11.6</v>
      </c>
      <c r="J305" s="2">
        <v>0</v>
      </c>
      <c r="K305" s="6">
        <f>I305-(I305/100*J305)</f>
        <v>11.6</v>
      </c>
      <c r="L305" s="7">
        <f>880</f>
        <v>880</v>
      </c>
      <c r="M305" s="8">
        <f>L305*E305</f>
        <v>1144</v>
      </c>
      <c r="N305" s="9">
        <f>A305/K305</f>
        <v>8.6206896551724144E-2</v>
      </c>
      <c r="O305" s="9">
        <f t="shared" si="6"/>
        <v>0.1120689655172414</v>
      </c>
      <c r="P305" s="10">
        <f>O305*L305</f>
        <v>98.620689655172427</v>
      </c>
    </row>
    <row r="306" spans="1:16" ht="15.75" hidden="1" x14ac:dyDescent="0.25">
      <c r="A306" s="363" t="s">
        <v>33</v>
      </c>
      <c r="B306" s="363"/>
      <c r="C306" s="363"/>
      <c r="D306" s="363"/>
      <c r="E306" s="2">
        <v>0.9</v>
      </c>
      <c r="F306" s="363">
        <v>10</v>
      </c>
      <c r="G306" s="363"/>
      <c r="H306" s="363"/>
      <c r="I306" s="363"/>
      <c r="J306" s="2"/>
      <c r="K306" s="2"/>
      <c r="L306" s="4">
        <v>0</v>
      </c>
      <c r="M306" s="12">
        <v>0</v>
      </c>
      <c r="N306" s="13">
        <f>N303*(F306/100)</f>
        <v>1.2931034482758622E-2</v>
      </c>
      <c r="O306" s="9">
        <f t="shared" si="6"/>
        <v>1.1637931034482761E-2</v>
      </c>
      <c r="P306" s="10">
        <f>N306*L306</f>
        <v>0</v>
      </c>
    </row>
    <row r="307" spans="1:16" ht="15.75" hidden="1" x14ac:dyDescent="0.25">
      <c r="A307" s="363" t="s">
        <v>33</v>
      </c>
      <c r="B307" s="363"/>
      <c r="C307" s="363"/>
      <c r="D307" s="363"/>
      <c r="E307" s="2">
        <v>0.9</v>
      </c>
      <c r="F307" s="363">
        <v>10</v>
      </c>
      <c r="G307" s="363"/>
      <c r="H307" s="363"/>
      <c r="I307" s="363"/>
      <c r="J307" s="2"/>
      <c r="K307" s="2"/>
      <c r="L307" s="4">
        <v>0</v>
      </c>
      <c r="M307" s="12">
        <v>0</v>
      </c>
      <c r="N307" s="13">
        <f>N305*(F307/100)</f>
        <v>8.6206896551724154E-3</v>
      </c>
      <c r="O307" s="9">
        <f t="shared" si="6"/>
        <v>7.758620689655174E-3</v>
      </c>
      <c r="P307" s="10">
        <f>N307*L307</f>
        <v>0</v>
      </c>
    </row>
    <row r="308" spans="1:16" ht="15.75" hidden="1" x14ac:dyDescent="0.25">
      <c r="A308" s="363" t="s">
        <v>34</v>
      </c>
      <c r="B308" s="363"/>
      <c r="C308" s="363"/>
      <c r="D308" s="363"/>
      <c r="E308" s="2">
        <v>0.9</v>
      </c>
      <c r="F308" s="363">
        <v>10</v>
      </c>
      <c r="G308" s="363"/>
      <c r="H308" s="363"/>
      <c r="I308" s="363"/>
      <c r="J308" s="2"/>
      <c r="K308" s="2"/>
      <c r="L308" s="4">
        <v>0</v>
      </c>
      <c r="M308" s="12">
        <v>0</v>
      </c>
      <c r="N308" s="13">
        <f>N305*(F308/100)</f>
        <v>8.6206896551724154E-3</v>
      </c>
      <c r="O308" s="9">
        <f t="shared" si="6"/>
        <v>7.758620689655174E-3</v>
      </c>
      <c r="P308" s="10">
        <f>N308*L308</f>
        <v>0</v>
      </c>
    </row>
    <row r="309" spans="1:16" ht="15.75" x14ac:dyDescent="0.25">
      <c r="A309" s="2"/>
      <c r="B309" s="363" t="s">
        <v>35</v>
      </c>
      <c r="C309" s="363"/>
      <c r="D309" s="363"/>
      <c r="E309" s="363"/>
      <c r="F309" s="363"/>
      <c r="G309" s="363"/>
      <c r="H309" s="2">
        <f>SUM(H303:H305)</f>
        <v>250</v>
      </c>
      <c r="I309" s="363"/>
      <c r="J309" s="363"/>
      <c r="K309" s="363"/>
      <c r="L309" s="363"/>
      <c r="M309" s="363"/>
      <c r="N309" s="363"/>
      <c r="O309" s="363"/>
      <c r="P309" s="10">
        <f>SUM(P303:P308)</f>
        <v>559.54534718941898</v>
      </c>
    </row>
    <row r="312" spans="1:16" x14ac:dyDescent="0.25">
      <c r="A312" s="378" t="s">
        <v>229</v>
      </c>
      <c r="B312" s="379"/>
      <c r="C312" s="379"/>
      <c r="D312" s="379"/>
      <c r="E312" s="379"/>
      <c r="F312" s="379"/>
      <c r="G312" s="379"/>
      <c r="H312" s="379"/>
      <c r="I312" s="379"/>
      <c r="J312" s="379"/>
      <c r="K312" s="379"/>
      <c r="L312" s="379"/>
      <c r="M312" s="379"/>
      <c r="N312" s="379"/>
      <c r="O312" s="379"/>
      <c r="P312" s="380"/>
    </row>
    <row r="313" spans="1:16" ht="15.75" x14ac:dyDescent="0.25">
      <c r="A313" s="322" t="s">
        <v>0</v>
      </c>
      <c r="B313" s="322" t="s">
        <v>1</v>
      </c>
      <c r="C313" s="322" t="s">
        <v>2</v>
      </c>
      <c r="D313" s="322" t="s">
        <v>3</v>
      </c>
      <c r="E313" s="322" t="s">
        <v>4</v>
      </c>
      <c r="F313" s="322" t="s">
        <v>5</v>
      </c>
      <c r="G313" s="322" t="s">
        <v>6</v>
      </c>
      <c r="H313" s="322"/>
      <c r="I313" s="322" t="s">
        <v>7</v>
      </c>
      <c r="J313" s="322"/>
      <c r="K313" s="322"/>
      <c r="L313" s="322" t="s">
        <v>8</v>
      </c>
      <c r="M313" s="278" t="s">
        <v>9</v>
      </c>
      <c r="N313" s="278" t="s">
        <v>10</v>
      </c>
      <c r="O313" s="278" t="s">
        <v>11</v>
      </c>
      <c r="P313" s="362" t="s">
        <v>12</v>
      </c>
    </row>
    <row r="314" spans="1:16" x14ac:dyDescent="0.25">
      <c r="A314" s="322"/>
      <c r="B314" s="322"/>
      <c r="C314" s="322"/>
      <c r="D314" s="322"/>
      <c r="E314" s="322"/>
      <c r="F314" s="322"/>
      <c r="G314" s="322" t="s">
        <v>13</v>
      </c>
      <c r="H314" s="322" t="s">
        <v>14</v>
      </c>
      <c r="I314" s="322" t="s">
        <v>15</v>
      </c>
      <c r="J314" s="322" t="s">
        <v>16</v>
      </c>
      <c r="K314" s="322" t="s">
        <v>17</v>
      </c>
      <c r="L314" s="322"/>
      <c r="M314" s="278"/>
      <c r="N314" s="278"/>
      <c r="O314" s="278"/>
      <c r="P314" s="362"/>
    </row>
    <row r="315" spans="1:16" x14ac:dyDescent="0.25">
      <c r="A315" s="322"/>
      <c r="B315" s="322"/>
      <c r="C315" s="322"/>
      <c r="D315" s="322"/>
      <c r="E315" s="322"/>
      <c r="F315" s="322"/>
      <c r="G315" s="322"/>
      <c r="H315" s="322"/>
      <c r="I315" s="322"/>
      <c r="J315" s="322"/>
      <c r="K315" s="322"/>
      <c r="L315" s="322"/>
      <c r="M315" s="278"/>
      <c r="N315" s="278"/>
      <c r="O315" s="278"/>
      <c r="P315" s="362"/>
    </row>
    <row r="316" spans="1:16" ht="15.75" x14ac:dyDescent="0.25">
      <c r="A316" s="2" t="s">
        <v>18</v>
      </c>
      <c r="B316" s="2" t="s">
        <v>19</v>
      </c>
      <c r="C316" s="2"/>
      <c r="D316" s="2" t="s">
        <v>20</v>
      </c>
      <c r="E316" s="2" t="s">
        <v>21</v>
      </c>
      <c r="F316" s="2" t="s">
        <v>22</v>
      </c>
      <c r="G316" s="2" t="s">
        <v>23</v>
      </c>
      <c r="H316" s="2" t="s">
        <v>23</v>
      </c>
      <c r="I316" s="2" t="s">
        <v>24</v>
      </c>
      <c r="J316" s="2" t="s">
        <v>22</v>
      </c>
      <c r="K316" s="2" t="s">
        <v>24</v>
      </c>
      <c r="L316" s="2" t="s">
        <v>25</v>
      </c>
      <c r="M316" s="3" t="s">
        <v>25</v>
      </c>
      <c r="N316" s="3" t="s">
        <v>26</v>
      </c>
      <c r="O316" s="3" t="s">
        <v>27</v>
      </c>
      <c r="P316" s="2" t="s">
        <v>28</v>
      </c>
    </row>
    <row r="317" spans="1:16" ht="31.5" x14ac:dyDescent="0.25">
      <c r="A317" s="2">
        <v>1</v>
      </c>
      <c r="B317" s="4" t="s">
        <v>230</v>
      </c>
      <c r="C317" s="4" t="s">
        <v>227</v>
      </c>
      <c r="D317" s="2" t="s">
        <v>30</v>
      </c>
      <c r="E317" s="2">
        <v>2.9</v>
      </c>
      <c r="F317" s="2">
        <v>58</v>
      </c>
      <c r="G317" s="5">
        <f>H317*100/F317</f>
        <v>129.31034482758622</v>
      </c>
      <c r="H317" s="2">
        <v>75</v>
      </c>
      <c r="I317" s="6">
        <f>1/(H317/(10*F317))</f>
        <v>7.7333333333333325</v>
      </c>
      <c r="J317" s="2">
        <v>0</v>
      </c>
      <c r="K317" s="6">
        <f>I317-(I317/100*J317)</f>
        <v>7.7333333333333325</v>
      </c>
      <c r="L317" s="7">
        <v>820</v>
      </c>
      <c r="M317" s="8">
        <f>L317*E317</f>
        <v>2378</v>
      </c>
      <c r="N317" s="9">
        <f>A317/K317</f>
        <v>0.12931034482758622</v>
      </c>
      <c r="O317" s="8">
        <f t="shared" ref="O317:O322" si="7">E317*N317</f>
        <v>0.375</v>
      </c>
      <c r="P317" s="10">
        <f>O317*L317</f>
        <v>307.5</v>
      </c>
    </row>
    <row r="318" spans="1:16" ht="31.5" x14ac:dyDescent="0.25">
      <c r="A318" s="2">
        <v>1</v>
      </c>
      <c r="B318" s="4" t="s">
        <v>231</v>
      </c>
      <c r="C318" s="4" t="s">
        <v>48</v>
      </c>
      <c r="D318" s="2" t="s">
        <v>30</v>
      </c>
      <c r="E318" s="2">
        <v>1.6</v>
      </c>
      <c r="F318" s="2">
        <v>73</v>
      </c>
      <c r="G318" s="5">
        <f>H318*100/F318</f>
        <v>171.23287671232876</v>
      </c>
      <c r="H318" s="2">
        <v>125</v>
      </c>
      <c r="I318" s="6">
        <f>1/(H318/(10*F318))</f>
        <v>5.8400000000000007</v>
      </c>
      <c r="J318" s="2">
        <v>0</v>
      </c>
      <c r="K318" s="6">
        <f>I318-(I318/100*J318)</f>
        <v>5.8400000000000007</v>
      </c>
      <c r="L318" s="7">
        <v>560</v>
      </c>
      <c r="M318" s="8">
        <f>L318*E318</f>
        <v>896</v>
      </c>
      <c r="N318" s="9">
        <f>A318/K318</f>
        <v>0.17123287671232876</v>
      </c>
      <c r="O318" s="8">
        <f t="shared" si="7"/>
        <v>0.27397260273972601</v>
      </c>
      <c r="P318" s="10">
        <f>O318*L318</f>
        <v>153.42465753424656</v>
      </c>
    </row>
    <row r="319" spans="1:16" ht="15.75" x14ac:dyDescent="0.25">
      <c r="A319" s="2">
        <v>1</v>
      </c>
      <c r="B319" s="4" t="s">
        <v>232</v>
      </c>
      <c r="C319" s="4" t="s">
        <v>32</v>
      </c>
      <c r="D319" s="11">
        <v>3020</v>
      </c>
      <c r="E319" s="2">
        <v>1.3</v>
      </c>
      <c r="F319" s="2">
        <v>58</v>
      </c>
      <c r="G319" s="5">
        <f>H319*100/F319</f>
        <v>86.206896551724142</v>
      </c>
      <c r="H319" s="2">
        <v>50</v>
      </c>
      <c r="I319" s="6">
        <f>1/(H319/(10*F319))</f>
        <v>11.6</v>
      </c>
      <c r="J319" s="2">
        <v>0</v>
      </c>
      <c r="K319" s="6">
        <f>I319-(I319/100*J319)</f>
        <v>11.6</v>
      </c>
      <c r="L319" s="7">
        <v>1020</v>
      </c>
      <c r="M319" s="8">
        <f>L319*E319</f>
        <v>1326</v>
      </c>
      <c r="N319" s="9">
        <f>A319/K319</f>
        <v>8.6206896551724144E-2</v>
      </c>
      <c r="O319" s="9">
        <f t="shared" si="7"/>
        <v>0.1120689655172414</v>
      </c>
      <c r="P319" s="10">
        <f>O319*L319</f>
        <v>114.31034482758622</v>
      </c>
    </row>
    <row r="320" spans="1:16" ht="15.75" hidden="1" x14ac:dyDescent="0.25">
      <c r="A320" s="363" t="s">
        <v>33</v>
      </c>
      <c r="B320" s="363"/>
      <c r="C320" s="363"/>
      <c r="D320" s="363"/>
      <c r="E320" s="2">
        <v>0.9</v>
      </c>
      <c r="F320" s="363">
        <v>10</v>
      </c>
      <c r="G320" s="363"/>
      <c r="H320" s="363"/>
      <c r="I320" s="363"/>
      <c r="J320" s="2"/>
      <c r="K320" s="2"/>
      <c r="L320" s="4">
        <v>0</v>
      </c>
      <c r="M320" s="12">
        <v>0</v>
      </c>
      <c r="N320" s="13">
        <f>N317*(F320/100)</f>
        <v>1.2931034482758622E-2</v>
      </c>
      <c r="O320" s="9">
        <f t="shared" si="7"/>
        <v>1.1637931034482761E-2</v>
      </c>
      <c r="P320" s="10">
        <f>N320*L320</f>
        <v>0</v>
      </c>
    </row>
    <row r="321" spans="1:16" ht="15.75" hidden="1" x14ac:dyDescent="0.25">
      <c r="A321" s="363" t="s">
        <v>33</v>
      </c>
      <c r="B321" s="363"/>
      <c r="C321" s="363"/>
      <c r="D321" s="363"/>
      <c r="E321" s="2">
        <v>0.9</v>
      </c>
      <c r="F321" s="363">
        <v>10</v>
      </c>
      <c r="G321" s="363"/>
      <c r="H321" s="363"/>
      <c r="I321" s="363"/>
      <c r="J321" s="2"/>
      <c r="K321" s="2"/>
      <c r="L321" s="4">
        <v>0</v>
      </c>
      <c r="M321" s="12">
        <v>0</v>
      </c>
      <c r="N321" s="13">
        <f>N319*(F321/100)</f>
        <v>8.6206896551724154E-3</v>
      </c>
      <c r="O321" s="9">
        <f t="shared" si="7"/>
        <v>7.758620689655174E-3</v>
      </c>
      <c r="P321" s="10">
        <f>N321*L321</f>
        <v>0</v>
      </c>
    </row>
    <row r="322" spans="1:16" ht="15.75" hidden="1" x14ac:dyDescent="0.25">
      <c r="A322" s="363" t="s">
        <v>34</v>
      </c>
      <c r="B322" s="363"/>
      <c r="C322" s="363"/>
      <c r="D322" s="363"/>
      <c r="E322" s="2">
        <v>0.9</v>
      </c>
      <c r="F322" s="363">
        <v>10</v>
      </c>
      <c r="G322" s="363"/>
      <c r="H322" s="363"/>
      <c r="I322" s="363"/>
      <c r="J322" s="2"/>
      <c r="K322" s="2"/>
      <c r="L322" s="4">
        <v>0</v>
      </c>
      <c r="M322" s="12">
        <v>0</v>
      </c>
      <c r="N322" s="13">
        <f>N319*(F322/100)</f>
        <v>8.6206896551724154E-3</v>
      </c>
      <c r="O322" s="9">
        <f t="shared" si="7"/>
        <v>7.758620689655174E-3</v>
      </c>
      <c r="P322" s="10">
        <f>N322*L322</f>
        <v>0</v>
      </c>
    </row>
    <row r="323" spans="1:16" ht="15.75" x14ac:dyDescent="0.25">
      <c r="A323" s="2"/>
      <c r="B323" s="363" t="s">
        <v>35</v>
      </c>
      <c r="C323" s="363"/>
      <c r="D323" s="363"/>
      <c r="E323" s="363"/>
      <c r="F323" s="363"/>
      <c r="G323" s="363"/>
      <c r="H323" s="2">
        <f>SUM(H317:H319)</f>
        <v>250</v>
      </c>
      <c r="I323" s="363"/>
      <c r="J323" s="363"/>
      <c r="K323" s="363"/>
      <c r="L323" s="363"/>
      <c r="M323" s="363"/>
      <c r="N323" s="363"/>
      <c r="O323" s="363"/>
      <c r="P323" s="10">
        <f>SUM(P317:P322)</f>
        <v>575.23500236183281</v>
      </c>
    </row>
  </sheetData>
  <mergeCells count="662">
    <mergeCell ref="A17:D17"/>
    <mergeCell ref="F17:I17"/>
    <mergeCell ref="B18:G18"/>
    <mergeCell ref="I18:O18"/>
    <mergeCell ref="M11:M13"/>
    <mergeCell ref="N11:N13"/>
    <mergeCell ref="O11:O13"/>
    <mergeCell ref="P11:P13"/>
    <mergeCell ref="G12:G13"/>
    <mergeCell ref="H12:H13"/>
    <mergeCell ref="I12:I13"/>
    <mergeCell ref="J12:J13"/>
    <mergeCell ref="K12:K13"/>
    <mergeCell ref="A11:A13"/>
    <mergeCell ref="B11:B13"/>
    <mergeCell ref="C11:C13"/>
    <mergeCell ref="D11:D13"/>
    <mergeCell ref="E11:E13"/>
    <mergeCell ref="F11:F13"/>
    <mergeCell ref="G11:H11"/>
    <mergeCell ref="I11:K11"/>
    <mergeCell ref="L11:L13"/>
    <mergeCell ref="P245:P247"/>
    <mergeCell ref="G246:G247"/>
    <mergeCell ref="H246:H247"/>
    <mergeCell ref="I246:I247"/>
    <mergeCell ref="J246:J247"/>
    <mergeCell ref="K246:K247"/>
    <mergeCell ref="B263:G263"/>
    <mergeCell ref="I263:O263"/>
    <mergeCell ref="P255:P257"/>
    <mergeCell ref="G256:G257"/>
    <mergeCell ref="H256:H257"/>
    <mergeCell ref="I256:I257"/>
    <mergeCell ref="J256:J257"/>
    <mergeCell ref="K256:K257"/>
    <mergeCell ref="A261:D261"/>
    <mergeCell ref="F261:I261"/>
    <mergeCell ref="A262:D262"/>
    <mergeCell ref="F262:I262"/>
    <mergeCell ref="A255:A257"/>
    <mergeCell ref="B255:B257"/>
    <mergeCell ref="C255:C257"/>
    <mergeCell ref="D255:D257"/>
    <mergeCell ref="E255:E257"/>
    <mergeCell ref="F255:F257"/>
    <mergeCell ref="G255:H255"/>
    <mergeCell ref="I255:K255"/>
    <mergeCell ref="L255:L257"/>
    <mergeCell ref="M255:M257"/>
    <mergeCell ref="N255:N257"/>
    <mergeCell ref="O255:O257"/>
    <mergeCell ref="A251:D251"/>
    <mergeCell ref="F251:I251"/>
    <mergeCell ref="A252:D252"/>
    <mergeCell ref="F252:I252"/>
    <mergeCell ref="B253:G253"/>
    <mergeCell ref="I253:O253"/>
    <mergeCell ref="A241:D241"/>
    <mergeCell ref="F241:I241"/>
    <mergeCell ref="A242:D242"/>
    <mergeCell ref="F242:I242"/>
    <mergeCell ref="B243:G243"/>
    <mergeCell ref="I243:O243"/>
    <mergeCell ref="A245:A247"/>
    <mergeCell ref="B245:B247"/>
    <mergeCell ref="C245:C247"/>
    <mergeCell ref="D245:D247"/>
    <mergeCell ref="E245:E247"/>
    <mergeCell ref="F245:F247"/>
    <mergeCell ref="G245:H245"/>
    <mergeCell ref="I245:K245"/>
    <mergeCell ref="L245:L247"/>
    <mergeCell ref="M245:M247"/>
    <mergeCell ref="N245:N247"/>
    <mergeCell ref="O245:O247"/>
    <mergeCell ref="M235:M237"/>
    <mergeCell ref="N235:N237"/>
    <mergeCell ref="O235:O237"/>
    <mergeCell ref="P235:P237"/>
    <mergeCell ref="G236:G237"/>
    <mergeCell ref="H236:H237"/>
    <mergeCell ref="I236:I237"/>
    <mergeCell ref="J236:J237"/>
    <mergeCell ref="K236:K237"/>
    <mergeCell ref="A235:A237"/>
    <mergeCell ref="B235:B237"/>
    <mergeCell ref="C235:C237"/>
    <mergeCell ref="D235:D237"/>
    <mergeCell ref="E235:E237"/>
    <mergeCell ref="F235:F237"/>
    <mergeCell ref="G235:H235"/>
    <mergeCell ref="I235:K235"/>
    <mergeCell ref="L235:L237"/>
    <mergeCell ref="A229:D229"/>
    <mergeCell ref="F229:I229"/>
    <mergeCell ref="A230:D230"/>
    <mergeCell ref="F230:I230"/>
    <mergeCell ref="B231:G231"/>
    <mergeCell ref="I231:O231"/>
    <mergeCell ref="M223:M225"/>
    <mergeCell ref="N223:N225"/>
    <mergeCell ref="O223:O225"/>
    <mergeCell ref="P223:P225"/>
    <mergeCell ref="G224:G225"/>
    <mergeCell ref="H224:H225"/>
    <mergeCell ref="I224:I225"/>
    <mergeCell ref="J224:J225"/>
    <mergeCell ref="K224:K225"/>
    <mergeCell ref="A223:A225"/>
    <mergeCell ref="B223:B225"/>
    <mergeCell ref="C223:C225"/>
    <mergeCell ref="D223:D225"/>
    <mergeCell ref="E223:E225"/>
    <mergeCell ref="F223:F225"/>
    <mergeCell ref="G223:H223"/>
    <mergeCell ref="I223:K223"/>
    <mergeCell ref="L223:L225"/>
    <mergeCell ref="A204:D204"/>
    <mergeCell ref="F204:I204"/>
    <mergeCell ref="A205:D205"/>
    <mergeCell ref="F205:I205"/>
    <mergeCell ref="B206:G206"/>
    <mergeCell ref="I206:O206"/>
    <mergeCell ref="H192:M192"/>
    <mergeCell ref="A193:N193"/>
    <mergeCell ref="A197:P197"/>
    <mergeCell ref="A198:A200"/>
    <mergeCell ref="B198:B200"/>
    <mergeCell ref="C198:C200"/>
    <mergeCell ref="D198:D200"/>
    <mergeCell ref="E198:E200"/>
    <mergeCell ref="F198:F200"/>
    <mergeCell ref="G198:H198"/>
    <mergeCell ref="I198:K198"/>
    <mergeCell ref="L198:L200"/>
    <mergeCell ref="M198:M200"/>
    <mergeCell ref="N198:N200"/>
    <mergeCell ref="O198:O200"/>
    <mergeCell ref="P198:P200"/>
    <mergeCell ref="G199:G200"/>
    <mergeCell ref="H199:H200"/>
    <mergeCell ref="I199:I200"/>
    <mergeCell ref="J199:J200"/>
    <mergeCell ref="K199:K200"/>
    <mergeCell ref="L186:L188"/>
    <mergeCell ref="M186:M188"/>
    <mergeCell ref="N186:N188"/>
    <mergeCell ref="O186:O188"/>
    <mergeCell ref="P186:P188"/>
    <mergeCell ref="G187:G188"/>
    <mergeCell ref="H187:H188"/>
    <mergeCell ref="I187:I188"/>
    <mergeCell ref="J187:J188"/>
    <mergeCell ref="A184:C185"/>
    <mergeCell ref="A186:A188"/>
    <mergeCell ref="B186:B188"/>
    <mergeCell ref="C186:C188"/>
    <mergeCell ref="D186:D188"/>
    <mergeCell ref="E186:E188"/>
    <mergeCell ref="F186:F188"/>
    <mergeCell ref="G186:H186"/>
    <mergeCell ref="I186:K186"/>
    <mergeCell ref="K187:K188"/>
    <mergeCell ref="A170:D170"/>
    <mergeCell ref="F170:I170"/>
    <mergeCell ref="B171:G171"/>
    <mergeCell ref="I171:O171"/>
    <mergeCell ref="A163:P163"/>
    <mergeCell ref="A164:A166"/>
    <mergeCell ref="B164:B166"/>
    <mergeCell ref="C164:C166"/>
    <mergeCell ref="D164:D166"/>
    <mergeCell ref="E164:E166"/>
    <mergeCell ref="F164:F166"/>
    <mergeCell ref="G164:H164"/>
    <mergeCell ref="I164:K164"/>
    <mergeCell ref="L164:L166"/>
    <mergeCell ref="M164:M166"/>
    <mergeCell ref="N164:N166"/>
    <mergeCell ref="O164:O166"/>
    <mergeCell ref="P164:P166"/>
    <mergeCell ref="G165:G166"/>
    <mergeCell ref="H165:H166"/>
    <mergeCell ref="I165:I166"/>
    <mergeCell ref="J165:J166"/>
    <mergeCell ref="K165:K166"/>
    <mergeCell ref="A131:D131"/>
    <mergeCell ref="F131:I131"/>
    <mergeCell ref="A132:D132"/>
    <mergeCell ref="F132:I132"/>
    <mergeCell ref="B133:G133"/>
    <mergeCell ref="I133:O133"/>
    <mergeCell ref="A124:P124"/>
    <mergeCell ref="A125:A127"/>
    <mergeCell ref="B125:B127"/>
    <mergeCell ref="C125:C127"/>
    <mergeCell ref="D125:D127"/>
    <mergeCell ref="E125:E127"/>
    <mergeCell ref="F125:F127"/>
    <mergeCell ref="G125:H125"/>
    <mergeCell ref="I125:K125"/>
    <mergeCell ref="L125:L127"/>
    <mergeCell ref="M125:M127"/>
    <mergeCell ref="N125:N127"/>
    <mergeCell ref="O125:O127"/>
    <mergeCell ref="P125:P127"/>
    <mergeCell ref="G126:G127"/>
    <mergeCell ref="H126:H127"/>
    <mergeCell ref="I126:I127"/>
    <mergeCell ref="J126:J127"/>
    <mergeCell ref="K126:K127"/>
    <mergeCell ref="B10:G10"/>
    <mergeCell ref="I10:O10"/>
    <mergeCell ref="I4:K4"/>
    <mergeCell ref="L4:L6"/>
    <mergeCell ref="M4:M6"/>
    <mergeCell ref="N4:N6"/>
    <mergeCell ref="O4:O6"/>
    <mergeCell ref="A119:D119"/>
    <mergeCell ref="F119:I119"/>
    <mergeCell ref="B120:G120"/>
    <mergeCell ref="I120:O120"/>
    <mergeCell ref="I113:I114"/>
    <mergeCell ref="J113:J114"/>
    <mergeCell ref="K113:K114"/>
    <mergeCell ref="A118:D118"/>
    <mergeCell ref="F118:I118"/>
    <mergeCell ref="A112:A114"/>
    <mergeCell ref="B112:B114"/>
    <mergeCell ref="C112:C114"/>
    <mergeCell ref="A100:A102"/>
    <mergeCell ref="B100:B102"/>
    <mergeCell ref="C100:C102"/>
    <mergeCell ref="D100:D102"/>
    <mergeCell ref="P112:P114"/>
    <mergeCell ref="G113:G114"/>
    <mergeCell ref="H113:H114"/>
    <mergeCell ref="A106:D106"/>
    <mergeCell ref="F106:I106"/>
    <mergeCell ref="A107:D107"/>
    <mergeCell ref="F107:I107"/>
    <mergeCell ref="B108:G108"/>
    <mergeCell ref="I108:O108"/>
    <mergeCell ref="A111:P111"/>
    <mergeCell ref="D112:D114"/>
    <mergeCell ref="E112:E114"/>
    <mergeCell ref="F112:F114"/>
    <mergeCell ref="G112:H112"/>
    <mergeCell ref="I112:K112"/>
    <mergeCell ref="L112:L114"/>
    <mergeCell ref="M112:M114"/>
    <mergeCell ref="N112:N114"/>
    <mergeCell ref="O112:O114"/>
    <mergeCell ref="E100:E102"/>
    <mergeCell ref="A95:D95"/>
    <mergeCell ref="F95:I95"/>
    <mergeCell ref="B96:G96"/>
    <mergeCell ref="I96:O96"/>
    <mergeCell ref="A99:P99"/>
    <mergeCell ref="N100:N102"/>
    <mergeCell ref="O100:O102"/>
    <mergeCell ref="P100:P102"/>
    <mergeCell ref="G101:G102"/>
    <mergeCell ref="H101:H102"/>
    <mergeCell ref="I101:I102"/>
    <mergeCell ref="J101:J102"/>
    <mergeCell ref="K101:K102"/>
    <mergeCell ref="F100:F102"/>
    <mergeCell ref="G100:H100"/>
    <mergeCell ref="I100:K100"/>
    <mergeCell ref="L100:L102"/>
    <mergeCell ref="M100:M102"/>
    <mergeCell ref="I89:I90"/>
    <mergeCell ref="J89:J90"/>
    <mergeCell ref="K89:K90"/>
    <mergeCell ref="A94:D94"/>
    <mergeCell ref="F94:I94"/>
    <mergeCell ref="A87:P87"/>
    <mergeCell ref="A88:A90"/>
    <mergeCell ref="B88:B90"/>
    <mergeCell ref="C88:C90"/>
    <mergeCell ref="D88:D90"/>
    <mergeCell ref="E88:E90"/>
    <mergeCell ref="F88:F90"/>
    <mergeCell ref="G88:H88"/>
    <mergeCell ref="I88:K88"/>
    <mergeCell ref="L88:L90"/>
    <mergeCell ref="M88:M90"/>
    <mergeCell ref="N88:N90"/>
    <mergeCell ref="O88:O90"/>
    <mergeCell ref="P88:P90"/>
    <mergeCell ref="G89:G90"/>
    <mergeCell ref="H89:H90"/>
    <mergeCell ref="A82:D82"/>
    <mergeCell ref="F82:I82"/>
    <mergeCell ref="A83:D83"/>
    <mergeCell ref="F83:I83"/>
    <mergeCell ref="B84:G84"/>
    <mergeCell ref="I84:O84"/>
    <mergeCell ref="N76:N78"/>
    <mergeCell ref="O76:O78"/>
    <mergeCell ref="P76:P78"/>
    <mergeCell ref="G77:G78"/>
    <mergeCell ref="H77:H78"/>
    <mergeCell ref="I77:I78"/>
    <mergeCell ref="J77:J78"/>
    <mergeCell ref="K77:K78"/>
    <mergeCell ref="F76:F78"/>
    <mergeCell ref="G76:H76"/>
    <mergeCell ref="I76:K76"/>
    <mergeCell ref="L76:L78"/>
    <mergeCell ref="M76:M78"/>
    <mergeCell ref="A76:A78"/>
    <mergeCell ref="B76:B78"/>
    <mergeCell ref="C76:C78"/>
    <mergeCell ref="D76:D78"/>
    <mergeCell ref="E76:E78"/>
    <mergeCell ref="A70:D70"/>
    <mergeCell ref="F70:I70"/>
    <mergeCell ref="A75:P75"/>
    <mergeCell ref="I65:I66"/>
    <mergeCell ref="J65:J66"/>
    <mergeCell ref="K65:K66"/>
    <mergeCell ref="A71:D71"/>
    <mergeCell ref="F71:I71"/>
    <mergeCell ref="B72:G72"/>
    <mergeCell ref="I72:K72"/>
    <mergeCell ref="F4:F6"/>
    <mergeCell ref="G4:H4"/>
    <mergeCell ref="A63:P63"/>
    <mergeCell ref="A64:A66"/>
    <mergeCell ref="B64:B66"/>
    <mergeCell ref="C64:C66"/>
    <mergeCell ref="D64:D66"/>
    <mergeCell ref="E64:E66"/>
    <mergeCell ref="F64:F66"/>
    <mergeCell ref="G64:H64"/>
    <mergeCell ref="I64:K64"/>
    <mergeCell ref="L64:L66"/>
    <mergeCell ref="M64:M66"/>
    <mergeCell ref="N64:N66"/>
    <mergeCell ref="O64:O66"/>
    <mergeCell ref="P64:P66"/>
    <mergeCell ref="G65:G66"/>
    <mergeCell ref="H65:H66"/>
    <mergeCell ref="P4:P6"/>
    <mergeCell ref="G5:G6"/>
    <mergeCell ref="H5:H6"/>
    <mergeCell ref="I5:I6"/>
    <mergeCell ref="J5:J6"/>
    <mergeCell ref="K5:K6"/>
    <mergeCell ref="F28:I28"/>
    <mergeCell ref="B29:G29"/>
    <mergeCell ref="A1:P2"/>
    <mergeCell ref="A52:P52"/>
    <mergeCell ref="A53:A55"/>
    <mergeCell ref="B53:B55"/>
    <mergeCell ref="C53:C55"/>
    <mergeCell ref="D53:D55"/>
    <mergeCell ref="E53:E55"/>
    <mergeCell ref="F53:F55"/>
    <mergeCell ref="G53:H53"/>
    <mergeCell ref="I53:K53"/>
    <mergeCell ref="L53:L55"/>
    <mergeCell ref="M53:M55"/>
    <mergeCell ref="N53:N55"/>
    <mergeCell ref="O53:O55"/>
    <mergeCell ref="P53:P55"/>
    <mergeCell ref="G54:G55"/>
    <mergeCell ref="A3:P3"/>
    <mergeCell ref="A4:A6"/>
    <mergeCell ref="B4:B6"/>
    <mergeCell ref="C4:C6"/>
    <mergeCell ref="D4:D6"/>
    <mergeCell ref="E4:E6"/>
    <mergeCell ref="A27:D27"/>
    <mergeCell ref="P31:P33"/>
    <mergeCell ref="J22:J23"/>
    <mergeCell ref="K22:K23"/>
    <mergeCell ref="A60:D60"/>
    <mergeCell ref="F60:I60"/>
    <mergeCell ref="B61:G61"/>
    <mergeCell ref="I61:O61"/>
    <mergeCell ref="H54:H55"/>
    <mergeCell ref="I54:I55"/>
    <mergeCell ref="J54:J55"/>
    <mergeCell ref="K54:K55"/>
    <mergeCell ref="A59:D59"/>
    <mergeCell ref="F59:I59"/>
    <mergeCell ref="N42:N44"/>
    <mergeCell ref="O42:O44"/>
    <mergeCell ref="A48:D48"/>
    <mergeCell ref="F48:I48"/>
    <mergeCell ref="A49:D49"/>
    <mergeCell ref="F49:I49"/>
    <mergeCell ref="B50:G50"/>
    <mergeCell ref="I50:O50"/>
    <mergeCell ref="F27:I27"/>
    <mergeCell ref="A28:D28"/>
    <mergeCell ref="A20:P20"/>
    <mergeCell ref="A21:A23"/>
    <mergeCell ref="B21:B23"/>
    <mergeCell ref="C21:C23"/>
    <mergeCell ref="D21:D23"/>
    <mergeCell ref="E21:E23"/>
    <mergeCell ref="F21:F23"/>
    <mergeCell ref="G21:H21"/>
    <mergeCell ref="I21:K21"/>
    <mergeCell ref="L21:L23"/>
    <mergeCell ref="M21:M23"/>
    <mergeCell ref="N21:N23"/>
    <mergeCell ref="O21:O23"/>
    <mergeCell ref="P21:P23"/>
    <mergeCell ref="G22:G23"/>
    <mergeCell ref="H22:H23"/>
    <mergeCell ref="I22:I23"/>
    <mergeCell ref="I29:O29"/>
    <mergeCell ref="A41:P41"/>
    <mergeCell ref="A42:A44"/>
    <mergeCell ref="B42:B44"/>
    <mergeCell ref="C42:C44"/>
    <mergeCell ref="D42:D44"/>
    <mergeCell ref="E42:E44"/>
    <mergeCell ref="F42:F44"/>
    <mergeCell ref="G42:H42"/>
    <mergeCell ref="I42:K42"/>
    <mergeCell ref="L42:L44"/>
    <mergeCell ref="M42:M44"/>
    <mergeCell ref="P42:P44"/>
    <mergeCell ref="G43:G44"/>
    <mergeCell ref="H43:H44"/>
    <mergeCell ref="I43:I44"/>
    <mergeCell ref="J43:J44"/>
    <mergeCell ref="K43:K44"/>
    <mergeCell ref="A37:D37"/>
    <mergeCell ref="A30:P30"/>
    <mergeCell ref="A31:A33"/>
    <mergeCell ref="B31:B33"/>
    <mergeCell ref="C31:C33"/>
    <mergeCell ref="D31:D33"/>
    <mergeCell ref="F37:I37"/>
    <mergeCell ref="A38:D38"/>
    <mergeCell ref="F38:I38"/>
    <mergeCell ref="B39:G39"/>
    <mergeCell ref="I39:O39"/>
    <mergeCell ref="E31:E33"/>
    <mergeCell ref="F31:F33"/>
    <mergeCell ref="G31:H31"/>
    <mergeCell ref="I31:K31"/>
    <mergeCell ref="L31:L33"/>
    <mergeCell ref="M31:M33"/>
    <mergeCell ref="N31:N33"/>
    <mergeCell ref="O31:O33"/>
    <mergeCell ref="G32:G33"/>
    <mergeCell ref="H32:H33"/>
    <mergeCell ref="I32:I33"/>
    <mergeCell ref="J32:J33"/>
    <mergeCell ref="K32:K33"/>
    <mergeCell ref="A136:P136"/>
    <mergeCell ref="A137:A139"/>
    <mergeCell ref="B137:B139"/>
    <mergeCell ref="C137:C139"/>
    <mergeCell ref="D137:D139"/>
    <mergeCell ref="E137:E139"/>
    <mergeCell ref="F137:F139"/>
    <mergeCell ref="G137:H137"/>
    <mergeCell ref="I137:K137"/>
    <mergeCell ref="L137:L139"/>
    <mergeCell ref="M137:M139"/>
    <mergeCell ref="N137:N139"/>
    <mergeCell ref="O137:O139"/>
    <mergeCell ref="P137:P139"/>
    <mergeCell ref="G138:G139"/>
    <mergeCell ref="H138:H139"/>
    <mergeCell ref="I138:I139"/>
    <mergeCell ref="J138:J139"/>
    <mergeCell ref="K138:K139"/>
    <mergeCell ref="A143:D143"/>
    <mergeCell ref="F143:I143"/>
    <mergeCell ref="A144:D144"/>
    <mergeCell ref="F144:I144"/>
    <mergeCell ref="B145:G145"/>
    <mergeCell ref="I145:O145"/>
    <mergeCell ref="A149:A151"/>
    <mergeCell ref="B149:B151"/>
    <mergeCell ref="C149:C151"/>
    <mergeCell ref="D149:D151"/>
    <mergeCell ref="E149:E151"/>
    <mergeCell ref="F149:F151"/>
    <mergeCell ref="G149:H149"/>
    <mergeCell ref="I149:K149"/>
    <mergeCell ref="L149:L151"/>
    <mergeCell ref="M149:M151"/>
    <mergeCell ref="N149:N151"/>
    <mergeCell ref="O149:O151"/>
    <mergeCell ref="B157:G157"/>
    <mergeCell ref="I157:O157"/>
    <mergeCell ref="A158:P160"/>
    <mergeCell ref="P149:P151"/>
    <mergeCell ref="G150:G151"/>
    <mergeCell ref="H150:H151"/>
    <mergeCell ref="I150:I151"/>
    <mergeCell ref="J150:J151"/>
    <mergeCell ref="K150:K151"/>
    <mergeCell ref="A155:D155"/>
    <mergeCell ref="F155:I155"/>
    <mergeCell ref="A156:D156"/>
    <mergeCell ref="F156:I156"/>
    <mergeCell ref="A180:D180"/>
    <mergeCell ref="F180:I180"/>
    <mergeCell ref="B181:G181"/>
    <mergeCell ref="I181:O181"/>
    <mergeCell ref="M174:M176"/>
    <mergeCell ref="N174:N176"/>
    <mergeCell ref="O174:O176"/>
    <mergeCell ref="P174:P176"/>
    <mergeCell ref="G175:G176"/>
    <mergeCell ref="H175:H176"/>
    <mergeCell ref="I175:I176"/>
    <mergeCell ref="J175:J176"/>
    <mergeCell ref="K175:K176"/>
    <mergeCell ref="A174:A176"/>
    <mergeCell ref="B174:B176"/>
    <mergeCell ref="C174:C176"/>
    <mergeCell ref="D174:D176"/>
    <mergeCell ref="E174:E176"/>
    <mergeCell ref="F174:F176"/>
    <mergeCell ref="G174:H174"/>
    <mergeCell ref="I174:K174"/>
    <mergeCell ref="L174:L176"/>
    <mergeCell ref="A216:D216"/>
    <mergeCell ref="F216:I216"/>
    <mergeCell ref="B217:G217"/>
    <mergeCell ref="I217:O217"/>
    <mergeCell ref="M209:M211"/>
    <mergeCell ref="N209:N211"/>
    <mergeCell ref="O209:O211"/>
    <mergeCell ref="G210:G211"/>
    <mergeCell ref="H210:H211"/>
    <mergeCell ref="I210:I211"/>
    <mergeCell ref="J210:J211"/>
    <mergeCell ref="K210:K211"/>
    <mergeCell ref="A215:D215"/>
    <mergeCell ref="F215:I215"/>
    <mergeCell ref="A209:A211"/>
    <mergeCell ref="B209:B211"/>
    <mergeCell ref="C209:C211"/>
    <mergeCell ref="D209:D211"/>
    <mergeCell ref="E209:E211"/>
    <mergeCell ref="F209:F211"/>
    <mergeCell ref="G209:H209"/>
    <mergeCell ref="I209:K209"/>
    <mergeCell ref="L209:L211"/>
    <mergeCell ref="A270:A272"/>
    <mergeCell ref="B270:B272"/>
    <mergeCell ref="C270:C272"/>
    <mergeCell ref="D270:D272"/>
    <mergeCell ref="E270:E272"/>
    <mergeCell ref="F270:F272"/>
    <mergeCell ref="G270:H270"/>
    <mergeCell ref="I270:K270"/>
    <mergeCell ref="L270:L272"/>
    <mergeCell ref="M270:M272"/>
    <mergeCell ref="N270:N272"/>
    <mergeCell ref="O270:O272"/>
    <mergeCell ref="P270:P272"/>
    <mergeCell ref="G271:G272"/>
    <mergeCell ref="H271:H272"/>
    <mergeCell ref="I271:I272"/>
    <mergeCell ref="J271:J272"/>
    <mergeCell ref="K271:K272"/>
    <mergeCell ref="A277:D277"/>
    <mergeCell ref="F277:I277"/>
    <mergeCell ref="A279:D279"/>
    <mergeCell ref="F279:I279"/>
    <mergeCell ref="B280:G280"/>
    <mergeCell ref="I280:O280"/>
    <mergeCell ref="A278:D278"/>
    <mergeCell ref="F278:I278"/>
    <mergeCell ref="A284:A286"/>
    <mergeCell ref="B284:B286"/>
    <mergeCell ref="C284:C286"/>
    <mergeCell ref="D284:D286"/>
    <mergeCell ref="E284:E286"/>
    <mergeCell ref="F284:F286"/>
    <mergeCell ref="G284:H284"/>
    <mergeCell ref="I284:K284"/>
    <mergeCell ref="L284:L286"/>
    <mergeCell ref="M284:M286"/>
    <mergeCell ref="N284:N286"/>
    <mergeCell ref="O284:O286"/>
    <mergeCell ref="P284:P286"/>
    <mergeCell ref="G285:G286"/>
    <mergeCell ref="H285:H286"/>
    <mergeCell ref="I285:I286"/>
    <mergeCell ref="J285:J286"/>
    <mergeCell ref="K285:K286"/>
    <mergeCell ref="A291:D291"/>
    <mergeCell ref="F291:I291"/>
    <mergeCell ref="A292:D292"/>
    <mergeCell ref="F292:I292"/>
    <mergeCell ref="A293:D293"/>
    <mergeCell ref="F293:I293"/>
    <mergeCell ref="B294:G294"/>
    <mergeCell ref="I294:O294"/>
    <mergeCell ref="A269:P269"/>
    <mergeCell ref="A283:P283"/>
    <mergeCell ref="A298:P298"/>
    <mergeCell ref="A299:A301"/>
    <mergeCell ref="B299:B301"/>
    <mergeCell ref="C299:C301"/>
    <mergeCell ref="D299:D301"/>
    <mergeCell ref="E299:E301"/>
    <mergeCell ref="F299:F301"/>
    <mergeCell ref="G299:H299"/>
    <mergeCell ref="I299:K299"/>
    <mergeCell ref="L299:L301"/>
    <mergeCell ref="M299:M301"/>
    <mergeCell ref="N299:N301"/>
    <mergeCell ref="O299:O301"/>
    <mergeCell ref="P299:P301"/>
    <mergeCell ref="G300:G301"/>
    <mergeCell ref="H300:H301"/>
    <mergeCell ref="I300:I301"/>
    <mergeCell ref="J300:J301"/>
    <mergeCell ref="I314:I315"/>
    <mergeCell ref="J314:J315"/>
    <mergeCell ref="K314:K315"/>
    <mergeCell ref="K300:K301"/>
    <mergeCell ref="A306:D306"/>
    <mergeCell ref="F306:I306"/>
    <mergeCell ref="A307:D307"/>
    <mergeCell ref="F307:I307"/>
    <mergeCell ref="A308:D308"/>
    <mergeCell ref="F308:I308"/>
    <mergeCell ref="B309:G309"/>
    <mergeCell ref="I309:O309"/>
    <mergeCell ref="A320:D320"/>
    <mergeCell ref="F320:I320"/>
    <mergeCell ref="A321:D321"/>
    <mergeCell ref="F321:I321"/>
    <mergeCell ref="A322:D322"/>
    <mergeCell ref="F322:I322"/>
    <mergeCell ref="B323:G323"/>
    <mergeCell ref="I323:O323"/>
    <mergeCell ref="A312:P312"/>
    <mergeCell ref="A313:A315"/>
    <mergeCell ref="B313:B315"/>
    <mergeCell ref="C313:C315"/>
    <mergeCell ref="D313:D315"/>
    <mergeCell ref="E313:E315"/>
    <mergeCell ref="F313:F315"/>
    <mergeCell ref="G313:H313"/>
    <mergeCell ref="I313:K313"/>
    <mergeCell ref="L313:L315"/>
    <mergeCell ref="M313:M315"/>
    <mergeCell ref="N313:N315"/>
    <mergeCell ref="O313:O315"/>
    <mergeCell ref="P313:P315"/>
    <mergeCell ref="G314:G315"/>
    <mergeCell ref="H314:H315"/>
  </mergeCells>
  <pageMargins left="0.7" right="0.7" top="0.75" bottom="0.75" header="0.3" footer="0.3"/>
  <pageSetup paperSize="9" scale="49" firstPageNumber="4294967295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FFA0-AF4C-4162-B4F8-AA839697DBFD}">
  <dimension ref="A1:AA76"/>
  <sheetViews>
    <sheetView topLeftCell="A47" zoomScale="85" zoomScaleNormal="85" workbookViewId="0">
      <selection activeCell="E72" sqref="E72"/>
    </sheetView>
  </sheetViews>
  <sheetFormatPr defaultRowHeight="15" x14ac:dyDescent="0.25"/>
  <cols>
    <col min="1" max="1" width="11.28515625" customWidth="1"/>
    <col min="2" max="2" width="19.140625" customWidth="1"/>
    <col min="3" max="3" width="15.140625" customWidth="1"/>
    <col min="4" max="4" width="12.7109375" customWidth="1"/>
    <col min="13" max="13" width="18.42578125" customWidth="1"/>
    <col min="14" max="14" width="11" customWidth="1"/>
    <col min="15" max="15" width="16.140625" customWidth="1"/>
    <col min="16" max="16" width="27.42578125" customWidth="1"/>
    <col min="17" max="17" width="13.28515625" customWidth="1"/>
  </cols>
  <sheetData>
    <row r="1" spans="1:17" x14ac:dyDescent="0.25">
      <c r="A1" s="391"/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</row>
    <row r="2" spans="1:17" ht="168" customHeight="1" x14ac:dyDescent="0.25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</row>
    <row r="3" spans="1:17" ht="15.75" x14ac:dyDescent="0.25">
      <c r="A3" s="392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</row>
    <row r="4" spans="1:17" ht="15.75" x14ac:dyDescent="0.25">
      <c r="A4" s="326" t="s">
        <v>0</v>
      </c>
      <c r="B4" s="236"/>
      <c r="C4" s="326" t="s">
        <v>1</v>
      </c>
      <c r="D4" s="326" t="s">
        <v>2</v>
      </c>
      <c r="E4" s="326" t="s">
        <v>3</v>
      </c>
      <c r="F4" s="326" t="s">
        <v>4</v>
      </c>
      <c r="G4" s="326" t="s">
        <v>5</v>
      </c>
      <c r="H4" s="329" t="s">
        <v>6</v>
      </c>
      <c r="I4" s="330"/>
      <c r="J4" s="329" t="s">
        <v>7</v>
      </c>
      <c r="K4" s="331"/>
      <c r="L4" s="330"/>
      <c r="M4" s="326" t="s">
        <v>8</v>
      </c>
      <c r="N4" s="332" t="s">
        <v>9</v>
      </c>
      <c r="O4" s="332" t="s">
        <v>10</v>
      </c>
      <c r="P4" s="332" t="s">
        <v>10</v>
      </c>
      <c r="Q4" s="319" t="s">
        <v>12</v>
      </c>
    </row>
    <row r="5" spans="1:17" ht="15.75" x14ac:dyDescent="0.25">
      <c r="A5" s="327"/>
      <c r="B5" s="237"/>
      <c r="C5" s="327"/>
      <c r="D5" s="327"/>
      <c r="E5" s="327"/>
      <c r="F5" s="327"/>
      <c r="G5" s="327"/>
      <c r="H5" s="326" t="s">
        <v>13</v>
      </c>
      <c r="I5" s="326" t="s">
        <v>14</v>
      </c>
      <c r="J5" s="326" t="s">
        <v>15</v>
      </c>
      <c r="K5" s="326" t="s">
        <v>16</v>
      </c>
      <c r="L5" s="326" t="s">
        <v>17</v>
      </c>
      <c r="M5" s="327"/>
      <c r="N5" s="333"/>
      <c r="O5" s="333"/>
      <c r="P5" s="333"/>
      <c r="Q5" s="320"/>
    </row>
    <row r="6" spans="1:17" ht="15.75" x14ac:dyDescent="0.25">
      <c r="A6" s="328"/>
      <c r="B6" s="23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34"/>
      <c r="O6" s="334"/>
      <c r="P6" s="334"/>
      <c r="Q6" s="321"/>
    </row>
    <row r="7" spans="1:17" ht="15.75" x14ac:dyDescent="0.25">
      <c r="A7" s="126" t="s">
        <v>18</v>
      </c>
      <c r="B7" s="240"/>
      <c r="C7" s="126" t="s">
        <v>19</v>
      </c>
      <c r="D7" s="126"/>
      <c r="E7" s="126" t="s">
        <v>20</v>
      </c>
      <c r="F7" s="126" t="s">
        <v>21</v>
      </c>
      <c r="G7" s="126" t="s">
        <v>22</v>
      </c>
      <c r="H7" s="126" t="s">
        <v>23</v>
      </c>
      <c r="I7" s="126" t="s">
        <v>23</v>
      </c>
      <c r="J7" s="126" t="s">
        <v>24</v>
      </c>
      <c r="K7" s="126" t="s">
        <v>22</v>
      </c>
      <c r="L7" s="126" t="s">
        <v>24</v>
      </c>
      <c r="M7" s="126" t="s">
        <v>25</v>
      </c>
      <c r="N7" s="125" t="s">
        <v>25</v>
      </c>
      <c r="O7" s="125" t="s">
        <v>26</v>
      </c>
      <c r="P7" s="125" t="s">
        <v>27</v>
      </c>
      <c r="Q7" s="126" t="s">
        <v>28</v>
      </c>
    </row>
    <row r="8" spans="1:17" ht="31.5" x14ac:dyDescent="0.25">
      <c r="A8" s="126">
        <v>1</v>
      </c>
      <c r="B8" s="240"/>
      <c r="C8" s="4" t="s">
        <v>65</v>
      </c>
      <c r="D8" s="4" t="s">
        <v>29</v>
      </c>
      <c r="E8" s="126" t="s">
        <v>30</v>
      </c>
      <c r="F8" s="126">
        <v>1.5</v>
      </c>
      <c r="G8" s="126">
        <v>74</v>
      </c>
      <c r="H8" s="5">
        <f>I8*100/G8</f>
        <v>189.18918918918919</v>
      </c>
      <c r="I8" s="126">
        <v>140</v>
      </c>
      <c r="J8" s="6">
        <f>1/(I8/(10*G8))</f>
        <v>5.2857142857142856</v>
      </c>
      <c r="K8" s="126">
        <v>0</v>
      </c>
      <c r="L8" s="6">
        <f>J8-(J8/100*K8)</f>
        <v>5.2857142857142856</v>
      </c>
      <c r="M8" s="7">
        <f>960/1.5</f>
        <v>640</v>
      </c>
      <c r="N8" s="8">
        <f>M8*F8</f>
        <v>960</v>
      </c>
      <c r="O8" s="9">
        <f>A8/L8</f>
        <v>0.1891891891891892</v>
      </c>
      <c r="P8" s="8">
        <f>F8*O8</f>
        <v>0.28378378378378377</v>
      </c>
      <c r="Q8" s="10">
        <f>P8*M8</f>
        <v>181.62162162162161</v>
      </c>
    </row>
    <row r="9" spans="1:17" ht="31.5" x14ac:dyDescent="0.25">
      <c r="A9" s="126">
        <v>1</v>
      </c>
      <c r="B9" s="240"/>
      <c r="C9" s="4" t="s">
        <v>217</v>
      </c>
      <c r="D9" s="4" t="s">
        <v>32</v>
      </c>
      <c r="E9" s="11">
        <v>9016</v>
      </c>
      <c r="F9" s="126">
        <v>1.4</v>
      </c>
      <c r="G9" s="126">
        <v>63</v>
      </c>
      <c r="H9" s="5">
        <f>I9*100/G9</f>
        <v>95.238095238095241</v>
      </c>
      <c r="I9" s="126">
        <v>60</v>
      </c>
      <c r="J9" s="6">
        <f>1/(I9/(10*G9))</f>
        <v>10.5</v>
      </c>
      <c r="K9" s="126">
        <v>0</v>
      </c>
      <c r="L9" s="6">
        <f>J9-(J9/100*K9)</f>
        <v>10.5</v>
      </c>
      <c r="M9" s="7">
        <f>1330/1.4</f>
        <v>950.00000000000011</v>
      </c>
      <c r="N9" s="8">
        <f>M9*F9</f>
        <v>1330</v>
      </c>
      <c r="O9" s="9">
        <f>A9/L9</f>
        <v>9.5238095238095233E-2</v>
      </c>
      <c r="P9" s="9">
        <f>F9*O9</f>
        <v>0.1333333333333333</v>
      </c>
      <c r="Q9" s="10">
        <f>P9*M9</f>
        <v>126.66666666666666</v>
      </c>
    </row>
    <row r="10" spans="1:17" ht="15.75" x14ac:dyDescent="0.25">
      <c r="A10" s="283"/>
      <c r="B10" s="284"/>
      <c r="C10" s="284"/>
      <c r="D10" s="284"/>
      <c r="E10" s="285"/>
      <c r="F10" s="126"/>
      <c r="G10" s="283"/>
      <c r="H10" s="284"/>
      <c r="I10" s="284"/>
      <c r="J10" s="285"/>
      <c r="K10" s="126"/>
      <c r="L10" s="126"/>
      <c r="M10" s="4"/>
      <c r="N10" s="12"/>
      <c r="O10" s="13"/>
      <c r="P10" s="9"/>
      <c r="Q10" s="10"/>
    </row>
    <row r="11" spans="1:17" ht="15.75" x14ac:dyDescent="0.25">
      <c r="A11" s="283"/>
      <c r="B11" s="284"/>
      <c r="C11" s="284"/>
      <c r="D11" s="284"/>
      <c r="E11" s="285"/>
      <c r="F11" s="126"/>
      <c r="G11" s="283"/>
      <c r="H11" s="284"/>
      <c r="I11" s="284"/>
      <c r="J11" s="285"/>
      <c r="K11" s="126"/>
      <c r="L11" s="126"/>
      <c r="M11" s="4"/>
      <c r="N11" s="12"/>
      <c r="O11" s="13"/>
      <c r="P11" s="9"/>
      <c r="Q11" s="10"/>
    </row>
    <row r="12" spans="1:17" ht="15.75" x14ac:dyDescent="0.25">
      <c r="A12" s="126"/>
      <c r="B12" s="235"/>
      <c r="C12" s="283" t="s">
        <v>35</v>
      </c>
      <c r="D12" s="284"/>
      <c r="E12" s="284"/>
      <c r="F12" s="284"/>
      <c r="G12" s="284"/>
      <c r="H12" s="285"/>
      <c r="I12" s="126">
        <f>SUM(I8:I9)</f>
        <v>200</v>
      </c>
      <c r="J12" s="283"/>
      <c r="K12" s="284"/>
      <c r="L12" s="284"/>
      <c r="M12" s="284"/>
      <c r="N12" s="284"/>
      <c r="O12" s="284"/>
      <c r="P12" s="285"/>
      <c r="Q12" s="10">
        <f>SUM(Q8:Q11)</f>
        <v>308.2882882882883</v>
      </c>
    </row>
    <row r="14" spans="1:17" x14ac:dyDescent="0.25">
      <c r="A14" s="129"/>
      <c r="B14" s="129"/>
    </row>
    <row r="15" spans="1:17" ht="15.75" x14ac:dyDescent="0.25">
      <c r="A15" s="326" t="s">
        <v>0</v>
      </c>
      <c r="B15" s="236"/>
      <c r="C15" s="326" t="s">
        <v>1</v>
      </c>
      <c r="D15" s="326" t="s">
        <v>2</v>
      </c>
      <c r="E15" s="326" t="s">
        <v>3</v>
      </c>
      <c r="F15" s="326" t="s">
        <v>4</v>
      </c>
      <c r="G15" s="326" t="s">
        <v>5</v>
      </c>
      <c r="H15" s="329" t="s">
        <v>6</v>
      </c>
      <c r="I15" s="330"/>
      <c r="J15" s="329" t="s">
        <v>7</v>
      </c>
      <c r="K15" s="331"/>
      <c r="L15" s="330"/>
      <c r="M15" s="326" t="s">
        <v>8</v>
      </c>
      <c r="N15" s="332" t="s">
        <v>9</v>
      </c>
      <c r="O15" s="332" t="s">
        <v>10</v>
      </c>
      <c r="P15" s="332" t="s">
        <v>10</v>
      </c>
      <c r="Q15" s="319" t="s">
        <v>12</v>
      </c>
    </row>
    <row r="16" spans="1:17" ht="15.75" x14ac:dyDescent="0.25">
      <c r="A16" s="327"/>
      <c r="B16" s="237"/>
      <c r="C16" s="327"/>
      <c r="D16" s="327"/>
      <c r="E16" s="327"/>
      <c r="F16" s="327"/>
      <c r="G16" s="327"/>
      <c r="H16" s="326" t="s">
        <v>13</v>
      </c>
      <c r="I16" s="326" t="s">
        <v>14</v>
      </c>
      <c r="J16" s="326" t="s">
        <v>15</v>
      </c>
      <c r="K16" s="326" t="s">
        <v>16</v>
      </c>
      <c r="L16" s="326" t="s">
        <v>17</v>
      </c>
      <c r="M16" s="327"/>
      <c r="N16" s="333"/>
      <c r="O16" s="333"/>
      <c r="P16" s="333"/>
      <c r="Q16" s="320"/>
    </row>
    <row r="17" spans="1:17" ht="15.75" x14ac:dyDescent="0.25">
      <c r="A17" s="328"/>
      <c r="B17" s="238"/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34"/>
      <c r="O17" s="334"/>
      <c r="P17" s="334"/>
      <c r="Q17" s="321"/>
    </row>
    <row r="18" spans="1:17" ht="15.75" x14ac:dyDescent="0.25">
      <c r="A18" s="126" t="s">
        <v>18</v>
      </c>
      <c r="B18" s="240"/>
      <c r="C18" s="126" t="s">
        <v>19</v>
      </c>
      <c r="D18" s="126"/>
      <c r="E18" s="126" t="s">
        <v>20</v>
      </c>
      <c r="F18" s="126" t="s">
        <v>21</v>
      </c>
      <c r="G18" s="126" t="s">
        <v>22</v>
      </c>
      <c r="H18" s="126" t="s">
        <v>23</v>
      </c>
      <c r="I18" s="126" t="s">
        <v>23</v>
      </c>
      <c r="J18" s="126" t="s">
        <v>24</v>
      </c>
      <c r="K18" s="126" t="s">
        <v>22</v>
      </c>
      <c r="L18" s="126" t="s">
        <v>24</v>
      </c>
      <c r="M18" s="126" t="s">
        <v>25</v>
      </c>
      <c r="N18" s="125" t="s">
        <v>25</v>
      </c>
      <c r="O18" s="125" t="s">
        <v>26</v>
      </c>
      <c r="P18" s="125" t="s">
        <v>27</v>
      </c>
      <c r="Q18" s="126" t="s">
        <v>28</v>
      </c>
    </row>
    <row r="19" spans="1:17" ht="31.5" x14ac:dyDescent="0.25">
      <c r="A19" s="126">
        <v>1</v>
      </c>
      <c r="B19" s="240"/>
      <c r="C19" s="4" t="s">
        <v>277</v>
      </c>
      <c r="D19" s="4" t="s">
        <v>29</v>
      </c>
      <c r="E19" s="126" t="s">
        <v>30</v>
      </c>
      <c r="F19" s="126"/>
      <c r="G19" s="126">
        <v>87</v>
      </c>
      <c r="H19" s="5">
        <f>I19*100/G19</f>
        <v>160.91954022988506</v>
      </c>
      <c r="I19" s="126">
        <v>140</v>
      </c>
      <c r="J19" s="6">
        <f>1/(I19/(10*G19))</f>
        <v>6.2142857142857144</v>
      </c>
      <c r="K19" s="126">
        <v>0</v>
      </c>
      <c r="L19" s="6">
        <f>J19-(J19/100*K19)</f>
        <v>6.2142857142857144</v>
      </c>
      <c r="M19" s="7">
        <f>((20*438.4)+(5*1025.55))/(20+5)</f>
        <v>555.83000000000004</v>
      </c>
      <c r="N19" s="8"/>
      <c r="O19" s="9"/>
      <c r="P19" s="130">
        <f>0.001710526*I19</f>
        <v>0.23947363999999999</v>
      </c>
      <c r="Q19" s="10">
        <f>P19*M19</f>
        <v>133.10663332120001</v>
      </c>
    </row>
    <row r="20" spans="1:17" ht="31.5" x14ac:dyDescent="0.25">
      <c r="A20" s="126">
        <v>1</v>
      </c>
      <c r="B20" s="240"/>
      <c r="C20" s="4" t="s">
        <v>278</v>
      </c>
      <c r="D20" s="4" t="s">
        <v>32</v>
      </c>
      <c r="E20" s="11">
        <v>9016</v>
      </c>
      <c r="F20" s="126"/>
      <c r="G20" s="126"/>
      <c r="H20" s="5"/>
      <c r="I20" s="126">
        <v>60</v>
      </c>
      <c r="J20" s="6"/>
      <c r="K20" s="126">
        <v>0</v>
      </c>
      <c r="L20" s="6">
        <f>J20-(J20/100*K20)</f>
        <v>0</v>
      </c>
      <c r="M20" s="7">
        <f>((18*747.45)+(1.29*1575.65))/(18+1.29)</f>
        <v>802.83506998444795</v>
      </c>
      <c r="N20" s="8"/>
      <c r="O20" s="9"/>
      <c r="P20" s="9">
        <f>0.002142857*I20</f>
        <v>0.12857142000000002</v>
      </c>
      <c r="Q20" s="10">
        <f>P20*M20</f>
        <v>103.22164497369987</v>
      </c>
    </row>
    <row r="21" spans="1:17" ht="15.75" x14ac:dyDescent="0.25">
      <c r="A21" s="283"/>
      <c r="B21" s="284"/>
      <c r="C21" s="284"/>
      <c r="D21" s="284"/>
      <c r="E21" s="285"/>
      <c r="F21" s="126"/>
      <c r="G21" s="283"/>
      <c r="H21" s="284"/>
      <c r="I21" s="284"/>
      <c r="J21" s="285"/>
      <c r="K21" s="126"/>
      <c r="L21" s="126"/>
      <c r="M21" s="4"/>
      <c r="N21" s="12"/>
      <c r="O21" s="13"/>
      <c r="P21" s="9"/>
      <c r="Q21" s="10"/>
    </row>
    <row r="22" spans="1:17" ht="15.75" x14ac:dyDescent="0.25">
      <c r="A22" s="283"/>
      <c r="B22" s="284"/>
      <c r="C22" s="284"/>
      <c r="D22" s="284"/>
      <c r="E22" s="285"/>
      <c r="F22" s="126"/>
      <c r="G22" s="283"/>
      <c r="H22" s="284"/>
      <c r="I22" s="284"/>
      <c r="J22" s="285"/>
      <c r="K22" s="126"/>
      <c r="L22" s="126"/>
      <c r="M22" s="4"/>
      <c r="N22" s="12"/>
      <c r="O22" s="13"/>
      <c r="P22" s="9"/>
      <c r="Q22" s="10"/>
    </row>
    <row r="23" spans="1:17" ht="15.75" x14ac:dyDescent="0.25">
      <c r="A23" s="126"/>
      <c r="B23" s="235"/>
      <c r="C23" s="283" t="s">
        <v>35</v>
      </c>
      <c r="D23" s="284"/>
      <c r="E23" s="284"/>
      <c r="F23" s="284"/>
      <c r="G23" s="284"/>
      <c r="H23" s="285"/>
      <c r="I23" s="126">
        <f>SUM(I19:I20)</f>
        <v>200</v>
      </c>
      <c r="J23" s="283"/>
      <c r="K23" s="284"/>
      <c r="L23" s="284"/>
      <c r="M23" s="284"/>
      <c r="N23" s="284"/>
      <c r="O23" s="284"/>
      <c r="P23" s="285"/>
      <c r="Q23" s="10">
        <f>SUM(Q19:Q22)</f>
        <v>236.32827829489986</v>
      </c>
    </row>
    <row r="26" spans="1:17" ht="15.75" x14ac:dyDescent="0.25">
      <c r="A26" s="326" t="s">
        <v>0</v>
      </c>
      <c r="B26" s="236"/>
      <c r="C26" s="326" t="s">
        <v>1</v>
      </c>
      <c r="D26" s="326" t="s">
        <v>2</v>
      </c>
      <c r="E26" s="326" t="s">
        <v>3</v>
      </c>
      <c r="F26" s="326" t="s">
        <v>4</v>
      </c>
      <c r="G26" s="326" t="s">
        <v>5</v>
      </c>
      <c r="H26" s="329" t="s">
        <v>6</v>
      </c>
      <c r="I26" s="330"/>
      <c r="J26" s="329" t="s">
        <v>7</v>
      </c>
      <c r="K26" s="331"/>
      <c r="L26" s="330"/>
      <c r="M26" s="326" t="s">
        <v>8</v>
      </c>
      <c r="N26" s="332" t="s">
        <v>9</v>
      </c>
      <c r="O26" s="332" t="s">
        <v>10</v>
      </c>
      <c r="P26" s="332" t="s">
        <v>10</v>
      </c>
      <c r="Q26" s="319" t="s">
        <v>12</v>
      </c>
    </row>
    <row r="27" spans="1:17" ht="15.75" x14ac:dyDescent="0.25">
      <c r="A27" s="327"/>
      <c r="B27" s="237"/>
      <c r="C27" s="327"/>
      <c r="D27" s="327"/>
      <c r="E27" s="327"/>
      <c r="F27" s="327"/>
      <c r="G27" s="327"/>
      <c r="H27" s="326" t="s">
        <v>13</v>
      </c>
      <c r="I27" s="326" t="s">
        <v>14</v>
      </c>
      <c r="J27" s="326" t="s">
        <v>15</v>
      </c>
      <c r="K27" s="326" t="s">
        <v>16</v>
      </c>
      <c r="L27" s="326" t="s">
        <v>17</v>
      </c>
      <c r="M27" s="327"/>
      <c r="N27" s="333"/>
      <c r="O27" s="333"/>
      <c r="P27" s="333"/>
      <c r="Q27" s="320"/>
    </row>
    <row r="28" spans="1:17" ht="15.75" x14ac:dyDescent="0.25">
      <c r="A28" s="328"/>
      <c r="B28" s="238"/>
      <c r="C28" s="328"/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34"/>
      <c r="O28" s="334"/>
      <c r="P28" s="334"/>
      <c r="Q28" s="321"/>
    </row>
    <row r="29" spans="1:17" ht="15.75" x14ac:dyDescent="0.25">
      <c r="A29" s="126" t="s">
        <v>18</v>
      </c>
      <c r="B29" s="240"/>
      <c r="C29" s="126" t="s">
        <v>19</v>
      </c>
      <c r="D29" s="126"/>
      <c r="E29" s="126" t="s">
        <v>20</v>
      </c>
      <c r="F29" s="126" t="s">
        <v>21</v>
      </c>
      <c r="G29" s="126" t="s">
        <v>22</v>
      </c>
      <c r="H29" s="126" t="s">
        <v>23</v>
      </c>
      <c r="I29" s="126" t="s">
        <v>23</v>
      </c>
      <c r="J29" s="126" t="s">
        <v>24</v>
      </c>
      <c r="K29" s="126" t="s">
        <v>22</v>
      </c>
      <c r="L29" s="126" t="s">
        <v>24</v>
      </c>
      <c r="M29" s="126" t="s">
        <v>25</v>
      </c>
      <c r="N29" s="125" t="s">
        <v>25</v>
      </c>
      <c r="O29" s="125" t="s">
        <v>26</v>
      </c>
      <c r="P29" s="125" t="s">
        <v>27</v>
      </c>
      <c r="Q29" s="126" t="s">
        <v>28</v>
      </c>
    </row>
    <row r="30" spans="1:17" ht="31.5" x14ac:dyDescent="0.25">
      <c r="A30" s="126">
        <v>1</v>
      </c>
      <c r="B30" s="240"/>
      <c r="C30" s="4" t="s">
        <v>65</v>
      </c>
      <c r="D30" s="4" t="s">
        <v>29</v>
      </c>
      <c r="E30" s="126" t="s">
        <v>30</v>
      </c>
      <c r="F30" s="126">
        <v>1.5</v>
      </c>
      <c r="G30" s="126">
        <v>74</v>
      </c>
      <c r="H30" s="5">
        <f>I30*100/G30</f>
        <v>189.18918918918919</v>
      </c>
      <c r="I30" s="126">
        <v>140</v>
      </c>
      <c r="J30" s="6">
        <f>1/(I30/(10*G30))</f>
        <v>5.2857142857142856</v>
      </c>
      <c r="K30" s="126">
        <v>0</v>
      </c>
      <c r="L30" s="6">
        <f>J30-(J30/100*K30)</f>
        <v>5.2857142857142856</v>
      </c>
      <c r="M30" s="7">
        <f>960/1.5</f>
        <v>640</v>
      </c>
      <c r="N30" s="8">
        <f>M30*F30</f>
        <v>960</v>
      </c>
      <c r="O30" s="9">
        <f>A30/L30</f>
        <v>0.1891891891891892</v>
      </c>
      <c r="P30" s="8">
        <f>F30*O30</f>
        <v>0.28378378378378377</v>
      </c>
      <c r="Q30" s="10">
        <f>P30*M30</f>
        <v>181.62162162162161</v>
      </c>
    </row>
    <row r="31" spans="1:17" ht="31.5" x14ac:dyDescent="0.25">
      <c r="A31" s="126">
        <v>1</v>
      </c>
      <c r="B31" s="240"/>
      <c r="C31" s="4" t="s">
        <v>217</v>
      </c>
      <c r="D31" s="4" t="s">
        <v>32</v>
      </c>
      <c r="E31" s="11">
        <v>5003</v>
      </c>
      <c r="F31" s="126">
        <v>1.4</v>
      </c>
      <c r="G31" s="126">
        <v>63</v>
      </c>
      <c r="H31" s="5">
        <f>I31*100/G31</f>
        <v>95.238095238095241</v>
      </c>
      <c r="I31" s="126">
        <v>60</v>
      </c>
      <c r="J31" s="6">
        <f>1/(I31/(10*G31))</f>
        <v>10.5</v>
      </c>
      <c r="K31" s="126">
        <v>0</v>
      </c>
      <c r="L31" s="6">
        <f>J31-(J31/100*K31)</f>
        <v>10.5</v>
      </c>
      <c r="M31" s="7">
        <f>1302/1.4</f>
        <v>930.00000000000011</v>
      </c>
      <c r="N31" s="8">
        <f>M31*F31</f>
        <v>1302</v>
      </c>
      <c r="O31" s="9">
        <f>A31/L31</f>
        <v>9.5238095238095233E-2</v>
      </c>
      <c r="P31" s="9">
        <f>F31*O31</f>
        <v>0.1333333333333333</v>
      </c>
      <c r="Q31" s="10">
        <f>P31*M31</f>
        <v>123.99999999999999</v>
      </c>
    </row>
    <row r="32" spans="1:17" ht="15.75" x14ac:dyDescent="0.25">
      <c r="A32" s="283"/>
      <c r="B32" s="284"/>
      <c r="C32" s="284"/>
      <c r="D32" s="284"/>
      <c r="E32" s="285"/>
      <c r="F32" s="126"/>
      <c r="G32" s="283"/>
      <c r="H32" s="284"/>
      <c r="I32" s="284"/>
      <c r="J32" s="285"/>
      <c r="K32" s="126"/>
      <c r="L32" s="126"/>
      <c r="M32" s="4"/>
      <c r="N32" s="12"/>
      <c r="O32" s="13"/>
      <c r="P32" s="9"/>
      <c r="Q32" s="10"/>
    </row>
    <row r="33" spans="1:17" ht="15.75" x14ac:dyDescent="0.25">
      <c r="A33" s="283"/>
      <c r="B33" s="284"/>
      <c r="C33" s="284"/>
      <c r="D33" s="284"/>
      <c r="E33" s="285"/>
      <c r="F33" s="126"/>
      <c r="G33" s="283"/>
      <c r="H33" s="284"/>
      <c r="I33" s="284"/>
      <c r="J33" s="285"/>
      <c r="K33" s="126"/>
      <c r="L33" s="126"/>
      <c r="M33" s="4"/>
      <c r="N33" s="12"/>
      <c r="O33" s="13"/>
      <c r="P33" s="9"/>
      <c r="Q33" s="10"/>
    </row>
    <row r="34" spans="1:17" ht="15.75" x14ac:dyDescent="0.25">
      <c r="A34" s="126"/>
      <c r="B34" s="235"/>
      <c r="C34" s="283" t="s">
        <v>35</v>
      </c>
      <c r="D34" s="284"/>
      <c r="E34" s="284"/>
      <c r="F34" s="284"/>
      <c r="G34" s="284"/>
      <c r="H34" s="285"/>
      <c r="I34" s="126">
        <f>SUM(I30:I31)</f>
        <v>200</v>
      </c>
      <c r="J34" s="283"/>
      <c r="K34" s="284"/>
      <c r="L34" s="284"/>
      <c r="M34" s="284"/>
      <c r="N34" s="284"/>
      <c r="O34" s="284"/>
      <c r="P34" s="285"/>
      <c r="Q34" s="10">
        <f>SUM(Q30:Q33)</f>
        <v>305.62162162162161</v>
      </c>
    </row>
    <row r="36" spans="1:17" x14ac:dyDescent="0.25">
      <c r="A36" s="129"/>
      <c r="B36" s="129"/>
    </row>
    <row r="37" spans="1:17" ht="15.75" x14ac:dyDescent="0.25">
      <c r="A37" s="326" t="s">
        <v>0</v>
      </c>
      <c r="B37" s="236"/>
      <c r="C37" s="326" t="s">
        <v>1</v>
      </c>
      <c r="D37" s="326" t="s">
        <v>2</v>
      </c>
      <c r="E37" s="326" t="s">
        <v>3</v>
      </c>
      <c r="F37" s="326" t="s">
        <v>4</v>
      </c>
      <c r="G37" s="326" t="s">
        <v>5</v>
      </c>
      <c r="H37" s="329" t="s">
        <v>6</v>
      </c>
      <c r="I37" s="330"/>
      <c r="J37" s="329" t="s">
        <v>7</v>
      </c>
      <c r="K37" s="331"/>
      <c r="L37" s="330"/>
      <c r="M37" s="326" t="s">
        <v>8</v>
      </c>
      <c r="N37" s="332" t="s">
        <v>9</v>
      </c>
      <c r="O37" s="332" t="s">
        <v>10</v>
      </c>
      <c r="P37" s="332" t="s">
        <v>10</v>
      </c>
      <c r="Q37" s="319" t="s">
        <v>12</v>
      </c>
    </row>
    <row r="38" spans="1:17" ht="15.75" x14ac:dyDescent="0.25">
      <c r="A38" s="327"/>
      <c r="B38" s="237"/>
      <c r="C38" s="327"/>
      <c r="D38" s="327"/>
      <c r="E38" s="327"/>
      <c r="F38" s="327"/>
      <c r="G38" s="327"/>
      <c r="H38" s="326" t="s">
        <v>13</v>
      </c>
      <c r="I38" s="326" t="s">
        <v>14</v>
      </c>
      <c r="J38" s="326" t="s">
        <v>15</v>
      </c>
      <c r="K38" s="326" t="s">
        <v>16</v>
      </c>
      <c r="L38" s="326" t="s">
        <v>17</v>
      </c>
      <c r="M38" s="327"/>
      <c r="N38" s="333"/>
      <c r="O38" s="333"/>
      <c r="P38" s="333"/>
      <c r="Q38" s="320"/>
    </row>
    <row r="39" spans="1:17" ht="15.75" x14ac:dyDescent="0.25">
      <c r="A39" s="328"/>
      <c r="B39" s="23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34"/>
      <c r="O39" s="334"/>
      <c r="P39" s="334"/>
      <c r="Q39" s="321"/>
    </row>
    <row r="40" spans="1:17" ht="15.75" x14ac:dyDescent="0.25">
      <c r="A40" s="126" t="s">
        <v>18</v>
      </c>
      <c r="B40" s="240"/>
      <c r="C40" s="126" t="s">
        <v>19</v>
      </c>
      <c r="D40" s="126"/>
      <c r="E40" s="126" t="s">
        <v>20</v>
      </c>
      <c r="F40" s="126" t="s">
        <v>21</v>
      </c>
      <c r="G40" s="126" t="s">
        <v>22</v>
      </c>
      <c r="H40" s="126" t="s">
        <v>23</v>
      </c>
      <c r="I40" s="126" t="s">
        <v>23</v>
      </c>
      <c r="J40" s="126" t="s">
        <v>24</v>
      </c>
      <c r="K40" s="126" t="s">
        <v>22</v>
      </c>
      <c r="L40" s="126" t="s">
        <v>24</v>
      </c>
      <c r="M40" s="126" t="s">
        <v>25</v>
      </c>
      <c r="N40" s="125" t="s">
        <v>25</v>
      </c>
      <c r="O40" s="125" t="s">
        <v>26</v>
      </c>
      <c r="P40" s="125" t="s">
        <v>27</v>
      </c>
      <c r="Q40" s="126" t="s">
        <v>28</v>
      </c>
    </row>
    <row r="41" spans="1:17" ht="31.5" x14ac:dyDescent="0.25">
      <c r="A41" s="126">
        <v>1</v>
      </c>
      <c r="B41" s="240"/>
      <c r="C41" s="4" t="s">
        <v>277</v>
      </c>
      <c r="D41" s="4" t="s">
        <v>29</v>
      </c>
      <c r="E41" s="126" t="s">
        <v>30</v>
      </c>
      <c r="F41" s="126"/>
      <c r="G41" s="126">
        <v>87</v>
      </c>
      <c r="H41" s="5">
        <f>I41*100/G41</f>
        <v>160.91954022988506</v>
      </c>
      <c r="I41" s="126">
        <v>140</v>
      </c>
      <c r="J41" s="6"/>
      <c r="K41" s="126">
        <v>0</v>
      </c>
      <c r="L41" s="6"/>
      <c r="M41" s="7">
        <f>((20*438.4)+(5*1025.55))/(20+5)</f>
        <v>555.83000000000004</v>
      </c>
      <c r="N41" s="8"/>
      <c r="O41" s="9"/>
      <c r="P41" s="130">
        <f>0.001710526*I41</f>
        <v>0.23947363999999999</v>
      </c>
      <c r="Q41" s="10">
        <f>P41*M41</f>
        <v>133.10663332120001</v>
      </c>
    </row>
    <row r="42" spans="1:17" ht="31.5" x14ac:dyDescent="0.25">
      <c r="A42" s="126">
        <v>1</v>
      </c>
      <c r="B42" s="240"/>
      <c r="C42" s="4" t="s">
        <v>278</v>
      </c>
      <c r="D42" s="4" t="s">
        <v>32</v>
      </c>
      <c r="E42" s="11">
        <v>5003</v>
      </c>
      <c r="F42" s="126"/>
      <c r="G42" s="126"/>
      <c r="H42" s="5"/>
      <c r="I42" s="126">
        <v>60</v>
      </c>
      <c r="J42" s="6"/>
      <c r="K42" s="126">
        <v>0</v>
      </c>
      <c r="L42" s="6"/>
      <c r="M42" s="7">
        <f>((18*795.15)+(1.29*1575.65))/(18+1.29)</f>
        <v>847.34517884914465</v>
      </c>
      <c r="N42" s="8"/>
      <c r="P42" s="9">
        <f>0.002142857*I42</f>
        <v>0.12857142000000002</v>
      </c>
      <c r="Q42" s="10">
        <f>P42*M42</f>
        <v>108.94437287478851</v>
      </c>
    </row>
    <row r="43" spans="1:17" ht="15.75" x14ac:dyDescent="0.25">
      <c r="A43" s="283"/>
      <c r="B43" s="284"/>
      <c r="C43" s="284"/>
      <c r="D43" s="284"/>
      <c r="E43" s="285"/>
      <c r="F43" s="126"/>
      <c r="G43" s="283"/>
      <c r="H43" s="284"/>
      <c r="I43" s="284"/>
      <c r="J43" s="285"/>
      <c r="K43" s="126"/>
      <c r="L43" s="126"/>
      <c r="M43" s="4"/>
      <c r="N43" s="12"/>
      <c r="O43" s="13"/>
      <c r="P43" s="9"/>
      <c r="Q43" s="10"/>
    </row>
    <row r="44" spans="1:17" ht="15.75" x14ac:dyDescent="0.25">
      <c r="A44" s="283"/>
      <c r="B44" s="284"/>
      <c r="C44" s="284"/>
      <c r="D44" s="284"/>
      <c r="E44" s="285"/>
      <c r="F44" s="126"/>
      <c r="G44" s="283"/>
      <c r="H44" s="284"/>
      <c r="I44" s="284"/>
      <c r="J44" s="285"/>
      <c r="K44" s="126"/>
      <c r="L44" s="126"/>
      <c r="M44" s="4"/>
      <c r="N44" s="12"/>
      <c r="O44" s="13"/>
      <c r="P44" s="9"/>
      <c r="Q44" s="10"/>
    </row>
    <row r="45" spans="1:17" ht="15.75" x14ac:dyDescent="0.25">
      <c r="A45" s="126"/>
      <c r="B45" s="235"/>
      <c r="C45" s="283" t="s">
        <v>35</v>
      </c>
      <c r="D45" s="284"/>
      <c r="E45" s="284"/>
      <c r="F45" s="284"/>
      <c r="G45" s="284"/>
      <c r="H45" s="285"/>
      <c r="I45" s="126">
        <f>SUM(I41:I42)</f>
        <v>200</v>
      </c>
      <c r="J45" s="283"/>
      <c r="K45" s="284"/>
      <c r="L45" s="284"/>
      <c r="M45" s="284"/>
      <c r="N45" s="284"/>
      <c r="O45" s="284"/>
      <c r="P45" s="285"/>
      <c r="Q45" s="10">
        <f>SUM(Q41:Q44)</f>
        <v>242.05100619598852</v>
      </c>
    </row>
    <row r="50" spans="1:17" ht="15.75" x14ac:dyDescent="0.25">
      <c r="A50" s="326" t="s">
        <v>0</v>
      </c>
      <c r="B50" s="236"/>
      <c r="C50" s="326" t="s">
        <v>1</v>
      </c>
      <c r="D50" s="326" t="s">
        <v>2</v>
      </c>
      <c r="E50" s="326" t="s">
        <v>3</v>
      </c>
      <c r="F50" s="326" t="s">
        <v>4</v>
      </c>
      <c r="G50" s="326" t="s">
        <v>5</v>
      </c>
      <c r="H50" s="329" t="s">
        <v>6</v>
      </c>
      <c r="I50" s="330"/>
      <c r="J50" s="329" t="s">
        <v>7</v>
      </c>
      <c r="K50" s="331"/>
      <c r="L50" s="330"/>
      <c r="M50" s="326" t="s">
        <v>8</v>
      </c>
      <c r="N50" s="332" t="s">
        <v>9</v>
      </c>
      <c r="O50" s="332" t="s">
        <v>10</v>
      </c>
      <c r="P50" s="332" t="s">
        <v>10</v>
      </c>
      <c r="Q50" s="319" t="s">
        <v>12</v>
      </c>
    </row>
    <row r="51" spans="1:17" ht="15.75" x14ac:dyDescent="0.25">
      <c r="A51" s="327"/>
      <c r="B51" s="237"/>
      <c r="C51" s="327"/>
      <c r="D51" s="327"/>
      <c r="E51" s="327"/>
      <c r="F51" s="327"/>
      <c r="G51" s="327"/>
      <c r="H51" s="326" t="s">
        <v>13</v>
      </c>
      <c r="I51" s="326" t="s">
        <v>14</v>
      </c>
      <c r="J51" s="326" t="s">
        <v>15</v>
      </c>
      <c r="K51" s="326" t="s">
        <v>16</v>
      </c>
      <c r="L51" s="326" t="s">
        <v>17</v>
      </c>
      <c r="M51" s="327"/>
      <c r="N51" s="333"/>
      <c r="O51" s="333"/>
      <c r="P51" s="333"/>
      <c r="Q51" s="320"/>
    </row>
    <row r="52" spans="1:17" ht="15.75" x14ac:dyDescent="0.25">
      <c r="A52" s="328"/>
      <c r="B52" s="23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34"/>
      <c r="O52" s="334"/>
      <c r="P52" s="334"/>
      <c r="Q52" s="321"/>
    </row>
    <row r="53" spans="1:17" ht="15.75" x14ac:dyDescent="0.25">
      <c r="A53" s="167" t="s">
        <v>18</v>
      </c>
      <c r="B53" s="240"/>
      <c r="C53" s="167" t="s">
        <v>19</v>
      </c>
      <c r="D53" s="167"/>
      <c r="E53" s="167" t="s">
        <v>20</v>
      </c>
      <c r="F53" s="167" t="s">
        <v>21</v>
      </c>
      <c r="G53" s="167" t="s">
        <v>22</v>
      </c>
      <c r="H53" s="167" t="s">
        <v>23</v>
      </c>
      <c r="I53" s="167" t="s">
        <v>23</v>
      </c>
      <c r="J53" s="167" t="s">
        <v>24</v>
      </c>
      <c r="K53" s="167" t="s">
        <v>22</v>
      </c>
      <c r="L53" s="167" t="s">
        <v>24</v>
      </c>
      <c r="M53" s="167" t="s">
        <v>25</v>
      </c>
      <c r="N53" s="166" t="s">
        <v>25</v>
      </c>
      <c r="O53" s="166" t="s">
        <v>26</v>
      </c>
      <c r="P53" s="166" t="s">
        <v>27</v>
      </c>
      <c r="Q53" s="167" t="s">
        <v>28</v>
      </c>
    </row>
    <row r="54" spans="1:17" ht="15.75" x14ac:dyDescent="0.25">
      <c r="A54" s="167">
        <v>1880.09</v>
      </c>
      <c r="B54" s="240"/>
      <c r="C54" s="4" t="s">
        <v>363</v>
      </c>
      <c r="D54" s="4" t="s">
        <v>29</v>
      </c>
      <c r="E54" s="167" t="s">
        <v>30</v>
      </c>
      <c r="F54" s="167">
        <v>1.52</v>
      </c>
      <c r="G54" s="167">
        <v>71</v>
      </c>
      <c r="H54" s="5">
        <f>I54*100/G54</f>
        <v>169.01408450704224</v>
      </c>
      <c r="I54" s="167">
        <v>120</v>
      </c>
      <c r="J54" s="6">
        <f>1/(I54/(10*G54))</f>
        <v>5.916666666666667</v>
      </c>
      <c r="K54" s="167">
        <v>0</v>
      </c>
      <c r="L54" s="6">
        <f>J54-(J54/100*K54)</f>
        <v>5.916666666666667</v>
      </c>
      <c r="M54" s="7">
        <v>0</v>
      </c>
      <c r="N54" s="8">
        <f>M54*F54</f>
        <v>0</v>
      </c>
      <c r="O54" s="9">
        <f>A54/L54</f>
        <v>317.76169014084502</v>
      </c>
      <c r="P54" s="8">
        <f>F54*O54</f>
        <v>482.99776901408444</v>
      </c>
      <c r="Q54" s="10">
        <f>P54*M54</f>
        <v>0</v>
      </c>
    </row>
    <row r="55" spans="1:17" ht="15.75" x14ac:dyDescent="0.25">
      <c r="A55" s="167">
        <v>1726.6669999999999</v>
      </c>
      <c r="B55" s="240"/>
      <c r="C55" s="4" t="s">
        <v>364</v>
      </c>
      <c r="D55" s="4" t="s">
        <v>32</v>
      </c>
      <c r="E55" s="11" t="s">
        <v>30</v>
      </c>
      <c r="F55" s="167">
        <v>1.35</v>
      </c>
      <c r="G55" s="167">
        <v>54</v>
      </c>
      <c r="H55" s="5">
        <f>I55*100/G55</f>
        <v>111.11111111111111</v>
      </c>
      <c r="I55" s="167">
        <v>60</v>
      </c>
      <c r="J55" s="6">
        <f>1/(I55/(10*G55))</f>
        <v>9</v>
      </c>
      <c r="K55" s="167">
        <v>0</v>
      </c>
      <c r="L55" s="6">
        <f>J55-(J55/100*K55)</f>
        <v>9</v>
      </c>
      <c r="M55" s="7">
        <v>0</v>
      </c>
      <c r="N55" s="8">
        <f>M55*F55</f>
        <v>0</v>
      </c>
      <c r="O55" s="9">
        <f>A55/L55</f>
        <v>191.85188888888888</v>
      </c>
      <c r="P55" s="9">
        <f>F55*O55</f>
        <v>259.00004999999999</v>
      </c>
      <c r="Q55" s="10">
        <f>P55*M55</f>
        <v>0</v>
      </c>
    </row>
    <row r="56" spans="1:17" ht="15.75" x14ac:dyDescent="0.25">
      <c r="A56" s="283"/>
      <c r="B56" s="284"/>
      <c r="C56" s="284"/>
      <c r="D56" s="284"/>
      <c r="E56" s="285"/>
      <c r="F56" s="167"/>
      <c r="G56" s="283"/>
      <c r="H56" s="284"/>
      <c r="I56" s="284"/>
      <c r="J56" s="285"/>
      <c r="K56" s="167"/>
      <c r="L56" s="167"/>
      <c r="M56" s="4"/>
      <c r="N56" s="12"/>
      <c r="O56" s="13"/>
      <c r="P56" s="9"/>
      <c r="Q56" s="10"/>
    </row>
    <row r="57" spans="1:17" ht="15.75" x14ac:dyDescent="0.25">
      <c r="A57" s="283"/>
      <c r="B57" s="284"/>
      <c r="C57" s="284"/>
      <c r="D57" s="284"/>
      <c r="E57" s="285"/>
      <c r="F57" s="167"/>
      <c r="G57" s="283"/>
      <c r="H57" s="284"/>
      <c r="I57" s="284"/>
      <c r="J57" s="285"/>
      <c r="K57" s="167"/>
      <c r="L57" s="167"/>
      <c r="M57" s="4"/>
      <c r="N57" s="12"/>
      <c r="O57" s="13"/>
      <c r="P57" s="9"/>
      <c r="Q57" s="10"/>
    </row>
    <row r="58" spans="1:17" ht="15.75" x14ac:dyDescent="0.25">
      <c r="A58" s="167"/>
      <c r="B58" s="235"/>
      <c r="C58" s="283" t="s">
        <v>35</v>
      </c>
      <c r="D58" s="284"/>
      <c r="E58" s="284"/>
      <c r="F58" s="284"/>
      <c r="G58" s="284"/>
      <c r="H58" s="285"/>
      <c r="I58" s="167">
        <f>SUM(I54:I55)</f>
        <v>180</v>
      </c>
      <c r="J58" s="283"/>
      <c r="K58" s="284"/>
      <c r="L58" s="284"/>
      <c r="M58" s="284"/>
      <c r="N58" s="284"/>
      <c r="O58" s="284"/>
      <c r="P58" s="285"/>
      <c r="Q58" s="10">
        <f>SUM(Q54:Q57)</f>
        <v>0</v>
      </c>
    </row>
    <row r="60" spans="1:17" ht="15.75" x14ac:dyDescent="0.25">
      <c r="A60" s="326" t="s">
        <v>0</v>
      </c>
      <c r="B60" s="326" t="s">
        <v>423</v>
      </c>
      <c r="C60" s="326" t="s">
        <v>1</v>
      </c>
      <c r="D60" s="326" t="s">
        <v>2</v>
      </c>
      <c r="E60" s="326" t="s">
        <v>3</v>
      </c>
      <c r="F60" s="326" t="s">
        <v>4</v>
      </c>
      <c r="G60" s="326" t="s">
        <v>5</v>
      </c>
      <c r="H60" s="329" t="s">
        <v>6</v>
      </c>
      <c r="I60" s="330"/>
      <c r="J60" s="329" t="s">
        <v>7</v>
      </c>
      <c r="K60" s="331"/>
      <c r="L60" s="330"/>
      <c r="M60" s="326" t="s">
        <v>8</v>
      </c>
      <c r="N60" s="332" t="s">
        <v>9</v>
      </c>
      <c r="O60" s="332" t="s">
        <v>10</v>
      </c>
      <c r="P60" s="332" t="s">
        <v>424</v>
      </c>
      <c r="Q60" s="319" t="s">
        <v>12</v>
      </c>
    </row>
    <row r="61" spans="1:17" ht="15.75" customHeight="1" x14ac:dyDescent="0.25">
      <c r="A61" s="327"/>
      <c r="B61" s="327"/>
      <c r="C61" s="327"/>
      <c r="D61" s="327"/>
      <c r="E61" s="327"/>
      <c r="F61" s="327"/>
      <c r="G61" s="327"/>
      <c r="H61" s="326" t="s">
        <v>13</v>
      </c>
      <c r="I61" s="326" t="s">
        <v>14</v>
      </c>
      <c r="J61" s="326" t="s">
        <v>15</v>
      </c>
      <c r="K61" s="326" t="s">
        <v>16</v>
      </c>
      <c r="L61" s="326" t="s">
        <v>17</v>
      </c>
      <c r="M61" s="327"/>
      <c r="N61" s="333"/>
      <c r="O61" s="333"/>
      <c r="P61" s="333"/>
      <c r="Q61" s="320"/>
    </row>
    <row r="62" spans="1:17" ht="56.25" customHeight="1" x14ac:dyDescent="0.25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34"/>
      <c r="O62" s="334"/>
      <c r="P62" s="334"/>
      <c r="Q62" s="321"/>
    </row>
    <row r="63" spans="1:17" ht="15.75" x14ac:dyDescent="0.25">
      <c r="A63" s="240" t="s">
        <v>18</v>
      </c>
      <c r="B63" s="240" t="s">
        <v>23</v>
      </c>
      <c r="C63" s="240" t="s">
        <v>19</v>
      </c>
      <c r="D63" s="240"/>
      <c r="E63" s="240" t="s">
        <v>20</v>
      </c>
      <c r="F63" s="240" t="s">
        <v>21</v>
      </c>
      <c r="G63" s="240" t="s">
        <v>22</v>
      </c>
      <c r="H63" s="240" t="s">
        <v>23</v>
      </c>
      <c r="I63" s="240" t="s">
        <v>23</v>
      </c>
      <c r="J63" s="240" t="s">
        <v>24</v>
      </c>
      <c r="K63" s="240" t="s">
        <v>22</v>
      </c>
      <c r="L63" s="240" t="s">
        <v>24</v>
      </c>
      <c r="M63" s="240" t="s">
        <v>25</v>
      </c>
      <c r="N63" s="239" t="s">
        <v>25</v>
      </c>
      <c r="O63" s="239" t="s">
        <v>26</v>
      </c>
      <c r="P63" s="239" t="s">
        <v>27</v>
      </c>
      <c r="Q63" s="240" t="s">
        <v>28</v>
      </c>
    </row>
    <row r="64" spans="1:17" ht="15.75" x14ac:dyDescent="0.25">
      <c r="A64" s="240">
        <v>1</v>
      </c>
      <c r="B64" s="240">
        <v>16</v>
      </c>
      <c r="C64" s="4" t="s">
        <v>421</v>
      </c>
      <c r="D64" s="4" t="s">
        <v>29</v>
      </c>
      <c r="E64" s="240" t="s">
        <v>30</v>
      </c>
      <c r="F64" s="240">
        <v>1.5</v>
      </c>
      <c r="G64" s="240">
        <v>74</v>
      </c>
      <c r="H64" s="5">
        <f>I64*100/G64</f>
        <v>94.594594594594597</v>
      </c>
      <c r="I64" s="240">
        <v>70</v>
      </c>
      <c r="J64" s="6">
        <f>1/(I64/(10*G64))</f>
        <v>10.571428571428571</v>
      </c>
      <c r="K64" s="240">
        <v>0</v>
      </c>
      <c r="L64" s="6">
        <f>J64-(J64/100*K64)</f>
        <v>10.571428571428571</v>
      </c>
      <c r="M64" s="7">
        <v>0</v>
      </c>
      <c r="N64" s="8">
        <f>M64*F64</f>
        <v>0</v>
      </c>
      <c r="O64" s="9">
        <f>A64/L64+(2/3*B64/10/G64)</f>
        <v>0.10900900900900902</v>
      </c>
      <c r="P64" s="112">
        <f>F64*O64</f>
        <v>0.16351351351351354</v>
      </c>
      <c r="Q64" s="10">
        <f>P64*M64</f>
        <v>0</v>
      </c>
    </row>
    <row r="65" spans="1:27" ht="15.75" x14ac:dyDescent="0.25">
      <c r="A65" s="240">
        <v>1</v>
      </c>
      <c r="B65" s="240" t="s">
        <v>30</v>
      </c>
      <c r="C65" s="4" t="s">
        <v>422</v>
      </c>
      <c r="D65" s="4" t="s">
        <v>32</v>
      </c>
      <c r="E65" s="11" t="s">
        <v>30</v>
      </c>
      <c r="F65" s="240">
        <v>1.35</v>
      </c>
      <c r="G65" s="240">
        <v>56</v>
      </c>
      <c r="H65" s="5">
        <f>I65*100/G65</f>
        <v>107.14285714285714</v>
      </c>
      <c r="I65" s="240">
        <v>60</v>
      </c>
      <c r="J65" s="6">
        <f>1/(I65/(10*G65))</f>
        <v>9.3333333333333339</v>
      </c>
      <c r="K65" s="240">
        <v>0</v>
      </c>
      <c r="L65" s="6">
        <f>J65-(J65/100*K65)</f>
        <v>9.3333333333333339</v>
      </c>
      <c r="M65" s="7">
        <v>0</v>
      </c>
      <c r="N65" s="8">
        <f>M65*F65</f>
        <v>0</v>
      </c>
      <c r="O65" s="9">
        <f>A65/L65</f>
        <v>0.10714285714285714</v>
      </c>
      <c r="P65" s="112">
        <f>F65*O65</f>
        <v>0.14464285714285716</v>
      </c>
      <c r="Q65" s="10">
        <f>P65*M65</f>
        <v>0</v>
      </c>
      <c r="Z65">
        <f>2/3*30/1000</f>
        <v>0.02</v>
      </c>
    </row>
    <row r="66" spans="1:27" ht="15.75" x14ac:dyDescent="0.25">
      <c r="A66" s="283"/>
      <c r="B66" s="284"/>
      <c r="C66" s="284"/>
      <c r="D66" s="284"/>
      <c r="E66" s="285"/>
      <c r="F66" s="240"/>
      <c r="G66" s="283"/>
      <c r="H66" s="284"/>
      <c r="I66" s="284"/>
      <c r="J66" s="285"/>
      <c r="K66" s="240"/>
      <c r="L66" s="240"/>
      <c r="M66" s="4"/>
      <c r="N66" s="12"/>
      <c r="O66" s="13"/>
      <c r="P66" s="9"/>
      <c r="Q66" s="10"/>
    </row>
    <row r="67" spans="1:27" ht="15.75" x14ac:dyDescent="0.25">
      <c r="A67" s="283"/>
      <c r="B67" s="284"/>
      <c r="C67" s="284"/>
      <c r="D67" s="284"/>
      <c r="E67" s="285"/>
      <c r="F67" s="240"/>
      <c r="G67" s="283"/>
      <c r="H67" s="284"/>
      <c r="I67" s="284"/>
      <c r="J67" s="285"/>
      <c r="K67" s="240"/>
      <c r="L67" s="240"/>
      <c r="M67" s="4"/>
      <c r="N67" s="12"/>
      <c r="O67" s="13"/>
      <c r="P67" s="9"/>
      <c r="Q67" s="10"/>
      <c r="Z67" s="250">
        <f>P64-0.164</f>
        <v>-4.8648648648647042E-4</v>
      </c>
    </row>
    <row r="68" spans="1:27" ht="15.75" x14ac:dyDescent="0.25">
      <c r="A68" s="240"/>
      <c r="B68" s="235"/>
      <c r="C68" s="283" t="s">
        <v>35</v>
      </c>
      <c r="D68" s="284"/>
      <c r="E68" s="284"/>
      <c r="F68" s="284"/>
      <c r="G68" s="284"/>
      <c r="H68" s="285"/>
      <c r="I68" s="240">
        <f>SUM(I64:I65)</f>
        <v>130</v>
      </c>
      <c r="J68" s="283"/>
      <c r="K68" s="284"/>
      <c r="L68" s="284"/>
      <c r="M68" s="284"/>
      <c r="N68" s="284"/>
      <c r="O68" s="284"/>
      <c r="P68" s="285"/>
      <c r="Q68" s="10">
        <f>SUM(Q64:Q67)</f>
        <v>0</v>
      </c>
      <c r="AA68">
        <f>2.8/100*1.5</f>
        <v>4.1999999999999996E-2</v>
      </c>
    </row>
    <row r="70" spans="1:27" x14ac:dyDescent="0.25">
      <c r="Z70" s="250">
        <f>0.164-P64</f>
        <v>4.8648648648647042E-4</v>
      </c>
    </row>
    <row r="71" spans="1:27" x14ac:dyDescent="0.25">
      <c r="G71">
        <v>483</v>
      </c>
      <c r="H71">
        <f>G71/P54</f>
        <v>1.0000046190397942</v>
      </c>
      <c r="M71">
        <f>2/3</f>
        <v>0.66666666666666663</v>
      </c>
      <c r="N71">
        <f>M71*30</f>
        <v>20</v>
      </c>
    </row>
    <row r="72" spans="1:27" x14ac:dyDescent="0.25">
      <c r="G72">
        <v>259</v>
      </c>
      <c r="H72">
        <f>G72/P55</f>
        <v>0.99999980694984425</v>
      </c>
      <c r="M72">
        <f>1*N71/74/10</f>
        <v>2.7027027027027029E-2</v>
      </c>
    </row>
    <row r="73" spans="1:27" x14ac:dyDescent="0.25">
      <c r="M73">
        <f>M72*1.5</f>
        <v>4.0540540540540543E-2</v>
      </c>
      <c r="N73" s="250">
        <f>P64+M73</f>
        <v>0.20405405405405408</v>
      </c>
    </row>
    <row r="75" spans="1:27" x14ac:dyDescent="0.25">
      <c r="P75">
        <v>457</v>
      </c>
    </row>
    <row r="76" spans="1:27" x14ac:dyDescent="0.25">
      <c r="P76">
        <v>230</v>
      </c>
    </row>
  </sheetData>
  <mergeCells count="147">
    <mergeCell ref="A43:E43"/>
    <mergeCell ref="G43:J43"/>
    <mergeCell ref="A44:E44"/>
    <mergeCell ref="G44:J44"/>
    <mergeCell ref="C45:H45"/>
    <mergeCell ref="J45:P45"/>
    <mergeCell ref="Q37:Q39"/>
    <mergeCell ref="H38:H39"/>
    <mergeCell ref="I38:I39"/>
    <mergeCell ref="J38:J39"/>
    <mergeCell ref="K38:K39"/>
    <mergeCell ref="L38:L39"/>
    <mergeCell ref="H37:I37"/>
    <mergeCell ref="J37:L37"/>
    <mergeCell ref="M37:M39"/>
    <mergeCell ref="N37:N39"/>
    <mergeCell ref="O37:O39"/>
    <mergeCell ref="P37:P39"/>
    <mergeCell ref="G37:G39"/>
    <mergeCell ref="A32:E32"/>
    <mergeCell ref="G32:J32"/>
    <mergeCell ref="A33:E33"/>
    <mergeCell ref="G33:J33"/>
    <mergeCell ref="C34:H34"/>
    <mergeCell ref="J34:P34"/>
    <mergeCell ref="A37:A39"/>
    <mergeCell ref="C37:C39"/>
    <mergeCell ref="D37:D39"/>
    <mergeCell ref="E37:E39"/>
    <mergeCell ref="F37:F39"/>
    <mergeCell ref="Q26:Q28"/>
    <mergeCell ref="H27:H28"/>
    <mergeCell ref="I27:I28"/>
    <mergeCell ref="J27:J28"/>
    <mergeCell ref="K27:K28"/>
    <mergeCell ref="L27:L28"/>
    <mergeCell ref="H26:I26"/>
    <mergeCell ref="J26:L26"/>
    <mergeCell ref="M26:M28"/>
    <mergeCell ref="N26:N28"/>
    <mergeCell ref="O26:O28"/>
    <mergeCell ref="P26:P28"/>
    <mergeCell ref="G26:G28"/>
    <mergeCell ref="A21:E21"/>
    <mergeCell ref="G21:J21"/>
    <mergeCell ref="A22:E22"/>
    <mergeCell ref="G22:J22"/>
    <mergeCell ref="C23:H23"/>
    <mergeCell ref="J23:P23"/>
    <mergeCell ref="A26:A28"/>
    <mergeCell ref="C26:C28"/>
    <mergeCell ref="D26:D28"/>
    <mergeCell ref="E26:E28"/>
    <mergeCell ref="F26:F28"/>
    <mergeCell ref="E15:E17"/>
    <mergeCell ref="F15:F17"/>
    <mergeCell ref="A10:E10"/>
    <mergeCell ref="G10:J10"/>
    <mergeCell ref="A11:E11"/>
    <mergeCell ref="G11:J11"/>
    <mergeCell ref="C12:H12"/>
    <mergeCell ref="J12:P12"/>
    <mergeCell ref="P15:P17"/>
    <mergeCell ref="A15:A17"/>
    <mergeCell ref="C15:C17"/>
    <mergeCell ref="D15:D17"/>
    <mergeCell ref="G15:G17"/>
    <mergeCell ref="Q15:Q17"/>
    <mergeCell ref="H16:H17"/>
    <mergeCell ref="I16:I17"/>
    <mergeCell ref="J16:J17"/>
    <mergeCell ref="K16:K17"/>
    <mergeCell ref="L16:L17"/>
    <mergeCell ref="H15:I15"/>
    <mergeCell ref="J15:L15"/>
    <mergeCell ref="M15:M17"/>
    <mergeCell ref="N15:N17"/>
    <mergeCell ref="O15:O17"/>
    <mergeCell ref="A1:Q2"/>
    <mergeCell ref="A3:Q3"/>
    <mergeCell ref="A4:A6"/>
    <mergeCell ref="C4:C6"/>
    <mergeCell ref="D4:D6"/>
    <mergeCell ref="E4:E6"/>
    <mergeCell ref="F4:F6"/>
    <mergeCell ref="G4:G6"/>
    <mergeCell ref="H4:I4"/>
    <mergeCell ref="J4:L4"/>
    <mergeCell ref="H5:H6"/>
    <mergeCell ref="I5:I6"/>
    <mergeCell ref="J5:J6"/>
    <mergeCell ref="K5:K6"/>
    <mergeCell ref="L5:L6"/>
    <mergeCell ref="M4:M6"/>
    <mergeCell ref="N4:N6"/>
    <mergeCell ref="O4:O6"/>
    <mergeCell ref="P4:P6"/>
    <mergeCell ref="Q4:Q6"/>
    <mergeCell ref="Q50:Q52"/>
    <mergeCell ref="H51:H52"/>
    <mergeCell ref="I51:I52"/>
    <mergeCell ref="J51:J52"/>
    <mergeCell ref="K51:K52"/>
    <mergeCell ref="L51:L52"/>
    <mergeCell ref="G50:G52"/>
    <mergeCell ref="H50:I50"/>
    <mergeCell ref="J50:L50"/>
    <mergeCell ref="M50:M52"/>
    <mergeCell ref="N50:N52"/>
    <mergeCell ref="A50:A52"/>
    <mergeCell ref="C50:C52"/>
    <mergeCell ref="D50:D52"/>
    <mergeCell ref="E50:E52"/>
    <mergeCell ref="F50:F52"/>
    <mergeCell ref="A66:E66"/>
    <mergeCell ref="G66:J66"/>
    <mergeCell ref="A67:E67"/>
    <mergeCell ref="G67:J67"/>
    <mergeCell ref="A60:A62"/>
    <mergeCell ref="C58:H58"/>
    <mergeCell ref="J58:P58"/>
    <mergeCell ref="O50:O52"/>
    <mergeCell ref="P50:P52"/>
    <mergeCell ref="B60:B62"/>
    <mergeCell ref="A56:E56"/>
    <mergeCell ref="G56:J56"/>
    <mergeCell ref="A57:E57"/>
    <mergeCell ref="G57:J57"/>
    <mergeCell ref="C68:H68"/>
    <mergeCell ref="J68:P68"/>
    <mergeCell ref="O60:O62"/>
    <mergeCell ref="P60:P62"/>
    <mergeCell ref="Q60:Q62"/>
    <mergeCell ref="H61:H62"/>
    <mergeCell ref="I61:I62"/>
    <mergeCell ref="J61:J62"/>
    <mergeCell ref="K61:K62"/>
    <mergeCell ref="L61:L62"/>
    <mergeCell ref="G60:G62"/>
    <mergeCell ref="H60:I60"/>
    <mergeCell ref="J60:L60"/>
    <mergeCell ref="M60:M62"/>
    <mergeCell ref="N60:N62"/>
    <mergeCell ref="C60:C62"/>
    <mergeCell ref="D60:D62"/>
    <mergeCell ref="E60:E62"/>
    <mergeCell ref="F60:F6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2525-3720-4AF5-A364-3105B4EDB8F5}">
  <dimension ref="B2:Q22"/>
  <sheetViews>
    <sheetView zoomScale="70" zoomScaleNormal="70" workbookViewId="0">
      <selection activeCell="Q53" sqref="Q53"/>
    </sheetView>
  </sheetViews>
  <sheetFormatPr defaultRowHeight="15" x14ac:dyDescent="0.25"/>
  <cols>
    <col min="2" max="2" width="11.7109375" customWidth="1"/>
    <col min="3" max="3" width="15.7109375" customWidth="1"/>
    <col min="4" max="4" width="19.42578125" customWidth="1"/>
    <col min="6" max="6" width="15.7109375" customWidth="1"/>
    <col min="7" max="7" width="13.7109375" customWidth="1"/>
    <col min="12" max="12" width="11.85546875" customWidth="1"/>
    <col min="13" max="13" width="12.85546875" customWidth="1"/>
    <col min="14" max="14" width="14" customWidth="1"/>
    <col min="15" max="15" width="13.5703125" customWidth="1"/>
    <col min="16" max="16" width="12.28515625" customWidth="1"/>
    <col min="17" max="17" width="15.5703125" customWidth="1"/>
  </cols>
  <sheetData>
    <row r="2" spans="2:17" ht="15.75" x14ac:dyDescent="0.25">
      <c r="B2" s="326" t="s">
        <v>0</v>
      </c>
      <c r="C2" s="326" t="s">
        <v>1</v>
      </c>
      <c r="D2" s="326" t="s">
        <v>2</v>
      </c>
      <c r="E2" s="326" t="s">
        <v>3</v>
      </c>
      <c r="F2" s="326" t="s">
        <v>4</v>
      </c>
      <c r="G2" s="326" t="s">
        <v>5</v>
      </c>
      <c r="H2" s="329" t="s">
        <v>6</v>
      </c>
      <c r="I2" s="330"/>
      <c r="J2" s="329" t="s">
        <v>7</v>
      </c>
      <c r="K2" s="331"/>
      <c r="L2" s="330"/>
      <c r="M2" s="326" t="s">
        <v>8</v>
      </c>
      <c r="N2" s="332" t="s">
        <v>9</v>
      </c>
      <c r="O2" s="332" t="s">
        <v>10</v>
      </c>
      <c r="P2" s="332" t="s">
        <v>10</v>
      </c>
      <c r="Q2" s="319" t="s">
        <v>12</v>
      </c>
    </row>
    <row r="3" spans="2:17" x14ac:dyDescent="0.25">
      <c r="B3" s="327"/>
      <c r="C3" s="327"/>
      <c r="D3" s="327"/>
      <c r="E3" s="327"/>
      <c r="F3" s="327"/>
      <c r="G3" s="327"/>
      <c r="H3" s="326" t="s">
        <v>13</v>
      </c>
      <c r="I3" s="326" t="s">
        <v>14</v>
      </c>
      <c r="J3" s="326" t="s">
        <v>15</v>
      </c>
      <c r="K3" s="326" t="s">
        <v>16</v>
      </c>
      <c r="L3" s="326" t="s">
        <v>17</v>
      </c>
      <c r="M3" s="327"/>
      <c r="N3" s="333"/>
      <c r="O3" s="333"/>
      <c r="P3" s="333"/>
      <c r="Q3" s="320"/>
    </row>
    <row r="4" spans="2:17" x14ac:dyDescent="0.25"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34"/>
      <c r="O4" s="334"/>
      <c r="P4" s="334"/>
      <c r="Q4" s="321"/>
    </row>
    <row r="5" spans="2:17" ht="15.75" x14ac:dyDescent="0.25">
      <c r="B5" s="128" t="s">
        <v>18</v>
      </c>
      <c r="C5" s="128" t="s">
        <v>19</v>
      </c>
      <c r="D5" s="128"/>
      <c r="E5" s="128" t="s">
        <v>20</v>
      </c>
      <c r="F5" s="128" t="s">
        <v>21</v>
      </c>
      <c r="G5" s="128" t="s">
        <v>22</v>
      </c>
      <c r="H5" s="128" t="s">
        <v>23</v>
      </c>
      <c r="I5" s="128" t="s">
        <v>23</v>
      </c>
      <c r="J5" s="128" t="s">
        <v>24</v>
      </c>
      <c r="K5" s="128" t="s">
        <v>22</v>
      </c>
      <c r="L5" s="128" t="s">
        <v>24</v>
      </c>
      <c r="M5" s="128" t="s">
        <v>25</v>
      </c>
      <c r="N5" s="127" t="s">
        <v>25</v>
      </c>
      <c r="O5" s="127" t="s">
        <v>26</v>
      </c>
      <c r="P5" s="127" t="s">
        <v>27</v>
      </c>
      <c r="Q5" s="128" t="s">
        <v>28</v>
      </c>
    </row>
    <row r="6" spans="2:17" ht="31.5" x14ac:dyDescent="0.25">
      <c r="B6" s="128">
        <v>100</v>
      </c>
      <c r="C6" s="4" t="s">
        <v>65</v>
      </c>
      <c r="D6" s="4" t="s">
        <v>29</v>
      </c>
      <c r="E6" s="128" t="s">
        <v>30</v>
      </c>
      <c r="F6" s="128">
        <v>1.5</v>
      </c>
      <c r="G6" s="128">
        <v>74</v>
      </c>
      <c r="H6" s="5">
        <f>I6*100/G6</f>
        <v>189.18918918918919</v>
      </c>
      <c r="I6" s="128">
        <v>140</v>
      </c>
      <c r="J6" s="6">
        <f>1/(I6/(10*G6))</f>
        <v>5.2857142857142856</v>
      </c>
      <c r="K6" s="128">
        <v>0</v>
      </c>
      <c r="L6" s="6">
        <f>J6-(J6/100*K6)</f>
        <v>5.2857142857142856</v>
      </c>
      <c r="M6" s="7">
        <f>1080/1.5</f>
        <v>720</v>
      </c>
      <c r="N6" s="8">
        <f>M6*F6</f>
        <v>1080</v>
      </c>
      <c r="O6" s="9">
        <f>B6/L6</f>
        <v>18.918918918918919</v>
      </c>
      <c r="P6" s="8">
        <f>F6*O6</f>
        <v>28.378378378378379</v>
      </c>
      <c r="Q6" s="10">
        <f>P6*M6</f>
        <v>20432.432432432433</v>
      </c>
    </row>
    <row r="7" spans="2:17" ht="31.5" x14ac:dyDescent="0.25">
      <c r="B7" s="128">
        <v>100</v>
      </c>
      <c r="C7" s="4" t="s">
        <v>217</v>
      </c>
      <c r="D7" s="4" t="s">
        <v>32</v>
      </c>
      <c r="E7" s="11">
        <v>7040</v>
      </c>
      <c r="F7" s="128">
        <v>1.4</v>
      </c>
      <c r="G7" s="128">
        <v>63</v>
      </c>
      <c r="H7" s="5">
        <f>I7*100/G7</f>
        <v>95.238095238095241</v>
      </c>
      <c r="I7" s="128">
        <v>60</v>
      </c>
      <c r="J7" s="6">
        <f>1/(I7/(10*G7))</f>
        <v>10.5</v>
      </c>
      <c r="K7" s="128">
        <v>0</v>
      </c>
      <c r="L7" s="6">
        <f>J7-(J7/100*K7)</f>
        <v>10.5</v>
      </c>
      <c r="M7" s="7">
        <f>1358/1.4</f>
        <v>970.00000000000011</v>
      </c>
      <c r="N7" s="8">
        <f>M7*F7</f>
        <v>1358</v>
      </c>
      <c r="O7" s="9">
        <f>B7/L7</f>
        <v>9.5238095238095237</v>
      </c>
      <c r="P7" s="9">
        <f>F7*O7</f>
        <v>13.333333333333332</v>
      </c>
      <c r="Q7" s="10">
        <f>P7*M7</f>
        <v>12933.333333333334</v>
      </c>
    </row>
    <row r="8" spans="2:17" ht="15.75" x14ac:dyDescent="0.25">
      <c r="B8" s="283"/>
      <c r="C8" s="284"/>
      <c r="D8" s="284"/>
      <c r="E8" s="285"/>
      <c r="F8" s="128"/>
      <c r="G8" s="283"/>
      <c r="H8" s="284"/>
      <c r="I8" s="284"/>
      <c r="J8" s="285"/>
      <c r="K8" s="128"/>
      <c r="L8" s="128"/>
      <c r="M8" s="4"/>
      <c r="N8" s="12"/>
      <c r="O8" s="13"/>
      <c r="P8" s="9"/>
      <c r="Q8" s="10"/>
    </row>
    <row r="9" spans="2:17" ht="15.75" x14ac:dyDescent="0.25">
      <c r="B9" s="283"/>
      <c r="C9" s="284"/>
      <c r="D9" s="284"/>
      <c r="E9" s="285"/>
      <c r="F9" s="128"/>
      <c r="G9" s="283"/>
      <c r="H9" s="284"/>
      <c r="I9" s="284"/>
      <c r="J9" s="285"/>
      <c r="K9" s="128"/>
      <c r="L9" s="128"/>
      <c r="M9" s="4"/>
      <c r="N9" s="12"/>
      <c r="O9" s="13"/>
      <c r="P9" s="9"/>
      <c r="Q9" s="10"/>
    </row>
    <row r="10" spans="2:17" ht="15.75" x14ac:dyDescent="0.25">
      <c r="B10" s="128"/>
      <c r="C10" s="283" t="s">
        <v>35</v>
      </c>
      <c r="D10" s="284"/>
      <c r="E10" s="284"/>
      <c r="F10" s="284"/>
      <c r="G10" s="284"/>
      <c r="H10" s="285"/>
      <c r="I10" s="128">
        <f>SUM(I6:I7)</f>
        <v>200</v>
      </c>
      <c r="J10" s="283"/>
      <c r="K10" s="284"/>
      <c r="L10" s="284"/>
      <c r="M10" s="284"/>
      <c r="N10" s="284"/>
      <c r="O10" s="284"/>
      <c r="P10" s="285"/>
      <c r="Q10" s="10">
        <f>SUM(Q6:Q9)</f>
        <v>33365.765765765769</v>
      </c>
    </row>
    <row r="14" spans="2:17" ht="15.75" x14ac:dyDescent="0.25">
      <c r="B14" s="326" t="s">
        <v>0</v>
      </c>
      <c r="C14" s="326" t="s">
        <v>1</v>
      </c>
      <c r="D14" s="326" t="s">
        <v>2</v>
      </c>
      <c r="E14" s="326" t="s">
        <v>3</v>
      </c>
      <c r="F14" s="326" t="s">
        <v>4</v>
      </c>
      <c r="G14" s="326" t="s">
        <v>5</v>
      </c>
      <c r="H14" s="329" t="s">
        <v>6</v>
      </c>
      <c r="I14" s="330"/>
      <c r="J14" s="329" t="s">
        <v>7</v>
      </c>
      <c r="K14" s="331"/>
      <c r="L14" s="330"/>
      <c r="M14" s="326" t="s">
        <v>8</v>
      </c>
      <c r="N14" s="332" t="s">
        <v>9</v>
      </c>
      <c r="O14" s="332" t="s">
        <v>10</v>
      </c>
      <c r="P14" s="332" t="s">
        <v>10</v>
      </c>
      <c r="Q14" s="319" t="s">
        <v>12</v>
      </c>
    </row>
    <row r="15" spans="2:17" x14ac:dyDescent="0.25">
      <c r="B15" s="327"/>
      <c r="C15" s="327"/>
      <c r="D15" s="327"/>
      <c r="E15" s="327"/>
      <c r="F15" s="327"/>
      <c r="G15" s="327"/>
      <c r="H15" s="326" t="s">
        <v>13</v>
      </c>
      <c r="I15" s="326" t="s">
        <v>14</v>
      </c>
      <c r="J15" s="326" t="s">
        <v>15</v>
      </c>
      <c r="K15" s="326" t="s">
        <v>16</v>
      </c>
      <c r="L15" s="326" t="s">
        <v>17</v>
      </c>
      <c r="M15" s="327"/>
      <c r="N15" s="333"/>
      <c r="O15" s="333"/>
      <c r="P15" s="333"/>
      <c r="Q15" s="320"/>
    </row>
    <row r="16" spans="2:17" x14ac:dyDescent="0.25">
      <c r="B16" s="328"/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34"/>
      <c r="O16" s="334"/>
      <c r="P16" s="334"/>
      <c r="Q16" s="321"/>
    </row>
    <row r="17" spans="2:17" ht="15.75" x14ac:dyDescent="0.25">
      <c r="B17" s="128" t="s">
        <v>18</v>
      </c>
      <c r="C17" s="128" t="s">
        <v>19</v>
      </c>
      <c r="D17" s="128"/>
      <c r="E17" s="128" t="s">
        <v>20</v>
      </c>
      <c r="F17" s="128" t="s">
        <v>21</v>
      </c>
      <c r="G17" s="128" t="s">
        <v>22</v>
      </c>
      <c r="H17" s="128" t="s">
        <v>23</v>
      </c>
      <c r="I17" s="128" t="s">
        <v>23</v>
      </c>
      <c r="J17" s="128" t="s">
        <v>24</v>
      </c>
      <c r="K17" s="128" t="s">
        <v>22</v>
      </c>
      <c r="L17" s="128" t="s">
        <v>24</v>
      </c>
      <c r="M17" s="128" t="s">
        <v>25</v>
      </c>
      <c r="N17" s="127" t="s">
        <v>25</v>
      </c>
      <c r="O17" s="127" t="s">
        <v>26</v>
      </c>
      <c r="P17" s="127" t="s">
        <v>27</v>
      </c>
      <c r="Q17" s="128" t="s">
        <v>28</v>
      </c>
    </row>
    <row r="18" spans="2:17" ht="15.75" x14ac:dyDescent="0.25">
      <c r="B18" s="128">
        <v>1873</v>
      </c>
      <c r="C18" s="4" t="s">
        <v>281</v>
      </c>
      <c r="D18" s="4" t="s">
        <v>29</v>
      </c>
      <c r="E18" s="128" t="s">
        <v>30</v>
      </c>
      <c r="F18" s="128">
        <v>1.5</v>
      </c>
      <c r="G18" s="128">
        <v>66</v>
      </c>
      <c r="H18" s="5">
        <f>I18*100/G18</f>
        <v>212.12121212121212</v>
      </c>
      <c r="I18" s="128">
        <v>140</v>
      </c>
      <c r="J18" s="6">
        <f>1/(I18/(10*G18))</f>
        <v>4.7142857142857144</v>
      </c>
      <c r="K18" s="128">
        <v>40</v>
      </c>
      <c r="L18" s="6">
        <f>J18-(J18/100*K18)</f>
        <v>2.8285714285714283</v>
      </c>
      <c r="M18" s="7">
        <v>1136</v>
      </c>
      <c r="N18" s="8">
        <f>M18*F18</f>
        <v>1704</v>
      </c>
      <c r="O18" s="9">
        <f>B18/L18</f>
        <v>662.17171717171721</v>
      </c>
      <c r="P18" s="8">
        <f>F18*O18</f>
        <v>993.25757575757575</v>
      </c>
      <c r="Q18" s="10">
        <f>P18*M18</f>
        <v>1128340.606060606</v>
      </c>
    </row>
    <row r="19" spans="2:17" ht="31.5" x14ac:dyDescent="0.25">
      <c r="B19" s="128">
        <v>1873</v>
      </c>
      <c r="C19" s="4" t="s">
        <v>217</v>
      </c>
      <c r="D19" s="4" t="s">
        <v>32</v>
      </c>
      <c r="E19" s="11">
        <v>7040</v>
      </c>
      <c r="F19" s="128">
        <v>1.3</v>
      </c>
      <c r="G19" s="128">
        <v>47</v>
      </c>
      <c r="H19" s="5">
        <f>I19*100/G19</f>
        <v>127.65957446808511</v>
      </c>
      <c r="I19" s="128">
        <v>60</v>
      </c>
      <c r="J19" s="6">
        <f>1/(I19/(10*G19))</f>
        <v>7.8333333333333339</v>
      </c>
      <c r="K19" s="128">
        <v>40</v>
      </c>
      <c r="L19" s="6">
        <f>J19-(J19/100*K19)</f>
        <v>4.7</v>
      </c>
      <c r="M19" s="7">
        <v>1250</v>
      </c>
      <c r="N19" s="8">
        <f>M19*F19</f>
        <v>1625</v>
      </c>
      <c r="O19" s="9">
        <f>B19/L19</f>
        <v>398.51063829787233</v>
      </c>
      <c r="P19" s="9">
        <f>F19*O19</f>
        <v>518.063829787234</v>
      </c>
      <c r="Q19" s="10">
        <f>P19*M19</f>
        <v>647579.78723404254</v>
      </c>
    </row>
    <row r="20" spans="2:17" ht="15.75" x14ac:dyDescent="0.25">
      <c r="B20" s="283"/>
      <c r="C20" s="284"/>
      <c r="D20" s="284"/>
      <c r="E20" s="285"/>
      <c r="F20" s="128"/>
      <c r="G20" s="283"/>
      <c r="H20" s="284"/>
      <c r="I20" s="284"/>
      <c r="J20" s="285"/>
      <c r="K20" s="128"/>
      <c r="L20" s="128"/>
      <c r="M20" s="4"/>
      <c r="N20" s="12"/>
      <c r="O20" s="13"/>
      <c r="P20" s="9"/>
      <c r="Q20" s="10"/>
    </row>
    <row r="21" spans="2:17" ht="15.75" x14ac:dyDescent="0.25">
      <c r="B21" s="283"/>
      <c r="C21" s="284"/>
      <c r="D21" s="284"/>
      <c r="E21" s="285"/>
      <c r="F21" s="128"/>
      <c r="G21" s="283"/>
      <c r="H21" s="284"/>
      <c r="I21" s="284"/>
      <c r="J21" s="285"/>
      <c r="K21" s="128"/>
      <c r="L21" s="128"/>
      <c r="M21" s="4"/>
      <c r="N21" s="12"/>
      <c r="O21" s="13"/>
      <c r="P21" s="9"/>
      <c r="Q21" s="10"/>
    </row>
    <row r="22" spans="2:17" ht="15.75" x14ac:dyDescent="0.25">
      <c r="B22" s="128"/>
      <c r="C22" s="283" t="s">
        <v>35</v>
      </c>
      <c r="D22" s="284"/>
      <c r="E22" s="284"/>
      <c r="F22" s="284"/>
      <c r="G22" s="284"/>
      <c r="H22" s="285"/>
      <c r="I22" s="128">
        <f>SUM(I18:I19)</f>
        <v>200</v>
      </c>
      <c r="J22" s="283"/>
      <c r="K22" s="284"/>
      <c r="L22" s="284"/>
      <c r="M22" s="284"/>
      <c r="N22" s="284"/>
      <c r="O22" s="284"/>
      <c r="P22" s="285"/>
      <c r="Q22" s="10">
        <f>SUM(Q18:Q21)</f>
        <v>1775920.3932946485</v>
      </c>
    </row>
  </sheetData>
  <mergeCells count="48">
    <mergeCell ref="B8:E8"/>
    <mergeCell ref="G8:J8"/>
    <mergeCell ref="B9:E9"/>
    <mergeCell ref="G9:J9"/>
    <mergeCell ref="O2:O4"/>
    <mergeCell ref="B2:B4"/>
    <mergeCell ref="C2:C4"/>
    <mergeCell ref="D2:D4"/>
    <mergeCell ref="E2:E4"/>
    <mergeCell ref="F2:F4"/>
    <mergeCell ref="G2:G4"/>
    <mergeCell ref="H2:I2"/>
    <mergeCell ref="J2:L2"/>
    <mergeCell ref="M2:M4"/>
    <mergeCell ref="Q2:Q4"/>
    <mergeCell ref="H3:H4"/>
    <mergeCell ref="I3:I4"/>
    <mergeCell ref="J3:J4"/>
    <mergeCell ref="K3:K4"/>
    <mergeCell ref="L3:L4"/>
    <mergeCell ref="N2:N4"/>
    <mergeCell ref="P2:P4"/>
    <mergeCell ref="Q14:Q16"/>
    <mergeCell ref="B20:E20"/>
    <mergeCell ref="G20:J20"/>
    <mergeCell ref="C10:H10"/>
    <mergeCell ref="J10:P10"/>
    <mergeCell ref="B14:B16"/>
    <mergeCell ref="C14:C16"/>
    <mergeCell ref="D14:D16"/>
    <mergeCell ref="E14:E16"/>
    <mergeCell ref="F14:F16"/>
    <mergeCell ref="G14:G16"/>
    <mergeCell ref="H14:I14"/>
    <mergeCell ref="J14:L14"/>
    <mergeCell ref="H15:H16"/>
    <mergeCell ref="I15:I16"/>
    <mergeCell ref="J15:J16"/>
    <mergeCell ref="B21:E21"/>
    <mergeCell ref="G21:J21"/>
    <mergeCell ref="C22:H22"/>
    <mergeCell ref="J22:P22"/>
    <mergeCell ref="N14:N16"/>
    <mergeCell ref="O14:O16"/>
    <mergeCell ref="P14:P16"/>
    <mergeCell ref="K15:K16"/>
    <mergeCell ref="L15:L16"/>
    <mergeCell ref="M14:M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7668-A54A-41D7-BF07-D4CFFA5F50EB}">
  <sheetPr>
    <pageSetUpPr fitToPage="1"/>
  </sheetPr>
  <dimension ref="A1:AL83"/>
  <sheetViews>
    <sheetView topLeftCell="A77" zoomScale="85" zoomScaleNormal="85" workbookViewId="0">
      <selection sqref="A1:O7"/>
    </sheetView>
  </sheetViews>
  <sheetFormatPr defaultRowHeight="15" x14ac:dyDescent="0.25"/>
  <cols>
    <col min="1" max="1" width="16.42578125" customWidth="1"/>
    <col min="2" max="2" width="30" customWidth="1"/>
    <col min="3" max="3" width="15.5703125" customWidth="1"/>
    <col min="4" max="4" width="18" customWidth="1"/>
    <col min="5" max="5" width="13.85546875" customWidth="1"/>
    <col min="6" max="6" width="18.5703125" customWidth="1"/>
    <col min="7" max="7" width="9.140625" customWidth="1"/>
    <col min="8" max="8" width="20" customWidth="1"/>
    <col min="9" max="9" width="9.140625" customWidth="1"/>
    <col min="10" max="10" width="12.140625" customWidth="1"/>
    <col min="11" max="11" width="13.140625" hidden="1" customWidth="1"/>
    <col min="12" max="12" width="19.7109375" hidden="1" customWidth="1"/>
    <col min="13" max="13" width="16.7109375" hidden="1" customWidth="1"/>
    <col min="14" max="14" width="16" hidden="1" customWidth="1"/>
    <col min="15" max="15" width="18.28515625" customWidth="1"/>
    <col min="16" max="16" width="18.7109375" hidden="1" customWidth="1"/>
    <col min="20" max="20" width="10.5703125" bestFit="1" customWidth="1"/>
    <col min="30" max="30" width="11.7109375" bestFit="1" customWidth="1"/>
  </cols>
  <sheetData>
    <row r="1" spans="1:34" ht="15.75" x14ac:dyDescent="0.25">
      <c r="A1" s="278" t="s">
        <v>220</v>
      </c>
      <c r="B1" s="278" t="s">
        <v>1</v>
      </c>
      <c r="C1" s="278" t="s">
        <v>2</v>
      </c>
      <c r="D1" s="278" t="s">
        <v>3</v>
      </c>
      <c r="E1" s="278" t="s">
        <v>4</v>
      </c>
      <c r="F1" s="278" t="s">
        <v>5</v>
      </c>
      <c r="G1" s="278" t="s">
        <v>6</v>
      </c>
      <c r="H1" s="278"/>
      <c r="I1" s="278"/>
      <c r="J1" s="278"/>
      <c r="K1" s="278"/>
      <c r="L1" s="278" t="s">
        <v>8</v>
      </c>
      <c r="M1" s="278" t="s">
        <v>9</v>
      </c>
      <c r="N1" s="278" t="s">
        <v>10</v>
      </c>
      <c r="O1" s="278" t="s">
        <v>10</v>
      </c>
      <c r="P1" s="319" t="s">
        <v>12</v>
      </c>
    </row>
    <row r="2" spans="1:34" ht="15" customHeight="1" x14ac:dyDescent="0.25">
      <c r="A2" s="278"/>
      <c r="B2" s="278"/>
      <c r="C2" s="278"/>
      <c r="D2" s="278"/>
      <c r="E2" s="278"/>
      <c r="F2" s="278"/>
      <c r="G2" s="278" t="s">
        <v>13</v>
      </c>
      <c r="H2" s="278" t="s">
        <v>14</v>
      </c>
      <c r="I2" s="278" t="s">
        <v>15</v>
      </c>
      <c r="J2" s="278" t="s">
        <v>16</v>
      </c>
      <c r="K2" s="278" t="s">
        <v>17</v>
      </c>
      <c r="L2" s="278"/>
      <c r="M2" s="278"/>
      <c r="N2" s="278"/>
      <c r="O2" s="278"/>
      <c r="P2" s="320"/>
    </row>
    <row r="3" spans="1:34" ht="15" customHeight="1" x14ac:dyDescent="0.25">
      <c r="A3" s="278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321"/>
    </row>
    <row r="4" spans="1:34" ht="15.75" x14ac:dyDescent="0.25">
      <c r="A4" s="127" t="s">
        <v>18</v>
      </c>
      <c r="B4" s="127" t="s">
        <v>19</v>
      </c>
      <c r="C4" s="127"/>
      <c r="D4" s="127" t="s">
        <v>20</v>
      </c>
      <c r="E4" s="127" t="s">
        <v>21</v>
      </c>
      <c r="F4" s="127" t="s">
        <v>22</v>
      </c>
      <c r="G4" s="127" t="s">
        <v>23</v>
      </c>
      <c r="H4" s="127" t="s">
        <v>23</v>
      </c>
      <c r="I4" s="127" t="s">
        <v>24</v>
      </c>
      <c r="J4" s="127" t="s">
        <v>22</v>
      </c>
      <c r="K4" s="127" t="s">
        <v>24</v>
      </c>
      <c r="L4" s="127" t="s">
        <v>25</v>
      </c>
      <c r="M4" s="127" t="s">
        <v>25</v>
      </c>
      <c r="N4" s="127" t="s">
        <v>26</v>
      </c>
      <c r="O4" s="127" t="s">
        <v>27</v>
      </c>
      <c r="P4" s="128" t="s">
        <v>28</v>
      </c>
    </row>
    <row r="5" spans="1:34" ht="15.75" x14ac:dyDescent="0.25">
      <c r="A5" s="127">
        <v>1</v>
      </c>
      <c r="B5" s="12" t="s">
        <v>42</v>
      </c>
      <c r="C5" s="12" t="s">
        <v>29</v>
      </c>
      <c r="D5" s="127" t="s">
        <v>30</v>
      </c>
      <c r="E5" s="127">
        <v>1.4</v>
      </c>
      <c r="F5" s="127">
        <v>73</v>
      </c>
      <c r="G5" s="16">
        <f>H5*(100)/F5</f>
        <v>109.58904109589041</v>
      </c>
      <c r="H5" s="127">
        <v>80</v>
      </c>
      <c r="I5" s="17">
        <f>1/(H5/(10*F5))</f>
        <v>9.125</v>
      </c>
      <c r="J5" s="127">
        <v>0</v>
      </c>
      <c r="K5" s="17">
        <f>I5-(I5/100*J5)</f>
        <v>9.125</v>
      </c>
      <c r="L5" s="8">
        <v>778</v>
      </c>
      <c r="M5" s="8">
        <f>E5*L5</f>
        <v>1089.1999999999998</v>
      </c>
      <c r="N5" s="9">
        <f>A5/K5</f>
        <v>0.1095890410958904</v>
      </c>
      <c r="O5" s="9">
        <f>E5*N5</f>
        <v>0.15342465753424656</v>
      </c>
      <c r="P5" s="10">
        <f>O5*L5</f>
        <v>119.36438356164382</v>
      </c>
    </row>
    <row r="6" spans="1:34" ht="15.75" x14ac:dyDescent="0.25">
      <c r="A6" s="127">
        <v>1</v>
      </c>
      <c r="B6" s="12" t="s">
        <v>43</v>
      </c>
      <c r="C6" s="12" t="s">
        <v>32</v>
      </c>
      <c r="D6" s="19" t="s">
        <v>177</v>
      </c>
      <c r="E6" s="127">
        <v>1.3</v>
      </c>
      <c r="F6" s="127">
        <v>58</v>
      </c>
      <c r="G6" s="16">
        <f>H6*100/F6</f>
        <v>86.206896551724142</v>
      </c>
      <c r="H6" s="127">
        <v>50</v>
      </c>
      <c r="I6" s="17">
        <f>1/(H6/(10*F6))</f>
        <v>11.6</v>
      </c>
      <c r="J6" s="127">
        <v>0</v>
      </c>
      <c r="K6" s="17">
        <f>I6-(I6/100*J6)</f>
        <v>11.6</v>
      </c>
      <c r="L6" s="8">
        <v>984</v>
      </c>
      <c r="M6" s="8">
        <f>E6*L6</f>
        <v>1279.2</v>
      </c>
      <c r="N6" s="9">
        <f>A6/K6</f>
        <v>8.6206896551724144E-2</v>
      </c>
      <c r="O6" s="9">
        <f>E6*N6</f>
        <v>0.1120689655172414</v>
      </c>
      <c r="P6" s="10">
        <f>O6*L6</f>
        <v>110.27586206896554</v>
      </c>
      <c r="AD6">
        <v>963.84</v>
      </c>
      <c r="AE6" t="s">
        <v>291</v>
      </c>
    </row>
    <row r="7" spans="1:34" ht="15.75" x14ac:dyDescent="0.25">
      <c r="A7" s="127"/>
      <c r="B7" s="335" t="s">
        <v>35</v>
      </c>
      <c r="C7" s="335"/>
      <c r="D7" s="335"/>
      <c r="E7" s="335"/>
      <c r="F7" s="335"/>
      <c r="G7" s="335"/>
      <c r="H7" s="127">
        <f>SUM(H5:H6)</f>
        <v>130</v>
      </c>
      <c r="I7" s="274"/>
      <c r="J7" s="274"/>
      <c r="K7" s="274"/>
      <c r="L7" s="274"/>
      <c r="M7" s="274"/>
      <c r="N7" s="274"/>
      <c r="O7" s="274"/>
      <c r="P7" s="10"/>
      <c r="AD7" s="134">
        <v>3005000.4</v>
      </c>
    </row>
    <row r="8" spans="1:34" ht="15.75" x14ac:dyDescent="0.25">
      <c r="P8" s="10"/>
      <c r="AD8">
        <v>3134392.38</v>
      </c>
    </row>
    <row r="9" spans="1:34" ht="15.75" x14ac:dyDescent="0.25">
      <c r="P9" s="10">
        <f>SUM(P5:P8)</f>
        <v>229.64024563060934</v>
      </c>
    </row>
    <row r="12" spans="1:34" ht="15.75" x14ac:dyDescent="0.25">
      <c r="A12" s="278" t="s">
        <v>220</v>
      </c>
      <c r="B12" s="278" t="s">
        <v>1</v>
      </c>
      <c r="C12" s="278" t="s">
        <v>2</v>
      </c>
      <c r="D12" s="278" t="s">
        <v>3</v>
      </c>
      <c r="E12" s="278" t="s">
        <v>4</v>
      </c>
      <c r="F12" s="278" t="s">
        <v>5</v>
      </c>
      <c r="G12" s="278" t="s">
        <v>6</v>
      </c>
      <c r="H12" s="278"/>
      <c r="I12" s="278"/>
      <c r="J12" s="278"/>
      <c r="K12" s="278"/>
      <c r="L12" s="278" t="s">
        <v>8</v>
      </c>
      <c r="M12" s="278" t="s">
        <v>9</v>
      </c>
      <c r="N12" s="278" t="s">
        <v>10</v>
      </c>
      <c r="O12" s="278" t="s">
        <v>222</v>
      </c>
      <c r="P12" s="319" t="s">
        <v>12</v>
      </c>
    </row>
    <row r="13" spans="1:34" x14ac:dyDescent="0.25">
      <c r="A13" s="278"/>
      <c r="B13" s="278"/>
      <c r="C13" s="278"/>
      <c r="D13" s="278"/>
      <c r="E13" s="278"/>
      <c r="F13" s="278"/>
      <c r="G13" s="278" t="s">
        <v>13</v>
      </c>
      <c r="H13" s="278" t="s">
        <v>14</v>
      </c>
      <c r="I13" s="278" t="s">
        <v>15</v>
      </c>
      <c r="J13" s="278" t="s">
        <v>16</v>
      </c>
      <c r="K13" s="278" t="s">
        <v>17</v>
      </c>
      <c r="L13" s="278"/>
      <c r="M13" s="278"/>
      <c r="N13" s="278"/>
      <c r="O13" s="278"/>
      <c r="P13" s="320"/>
    </row>
    <row r="14" spans="1:34" x14ac:dyDescent="0.25">
      <c r="A14" s="278"/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321"/>
      <c r="AH14" t="s">
        <v>290</v>
      </c>
    </row>
    <row r="15" spans="1:34" ht="15.75" x14ac:dyDescent="0.25">
      <c r="A15" s="127" t="s">
        <v>18</v>
      </c>
      <c r="B15" s="127" t="s">
        <v>19</v>
      </c>
      <c r="C15" s="127"/>
      <c r="D15" s="127" t="s">
        <v>20</v>
      </c>
      <c r="E15" s="127" t="s">
        <v>21</v>
      </c>
      <c r="F15" s="127" t="s">
        <v>22</v>
      </c>
      <c r="G15" s="127" t="s">
        <v>23</v>
      </c>
      <c r="H15" s="127" t="s">
        <v>23</v>
      </c>
      <c r="I15" s="127" t="s">
        <v>24</v>
      </c>
      <c r="J15" s="127" t="s">
        <v>22</v>
      </c>
      <c r="K15" s="127" t="s">
        <v>24</v>
      </c>
      <c r="L15" s="127" t="s">
        <v>25</v>
      </c>
      <c r="M15" s="127" t="s">
        <v>25</v>
      </c>
      <c r="N15" s="127" t="s">
        <v>26</v>
      </c>
      <c r="O15" s="127" t="s">
        <v>27</v>
      </c>
      <c r="P15" s="128" t="s">
        <v>28</v>
      </c>
    </row>
    <row r="16" spans="1:34" ht="15.75" x14ac:dyDescent="0.25">
      <c r="A16" s="127">
        <v>2200</v>
      </c>
      <c r="B16" s="12" t="s">
        <v>279</v>
      </c>
      <c r="C16" s="12" t="s">
        <v>29</v>
      </c>
      <c r="D16" s="127" t="s">
        <v>30</v>
      </c>
      <c r="E16" s="127">
        <v>1.7</v>
      </c>
      <c r="F16" s="127">
        <v>60</v>
      </c>
      <c r="G16" s="16">
        <f>H16*(100)/F16</f>
        <v>200</v>
      </c>
      <c r="H16" s="127">
        <v>120</v>
      </c>
      <c r="I16" s="17">
        <f>1/(H16/(10*F16))</f>
        <v>5</v>
      </c>
      <c r="J16" s="127">
        <v>40</v>
      </c>
      <c r="K16" s="17">
        <f>I16-(I16/100*J16)</f>
        <v>3</v>
      </c>
      <c r="L16" s="8">
        <v>627</v>
      </c>
      <c r="M16" s="8">
        <f>E16*L16</f>
        <v>1065.8999999999999</v>
      </c>
      <c r="N16" s="9">
        <f>A16/K16</f>
        <v>733.33333333333337</v>
      </c>
      <c r="O16" s="9">
        <f>E16*N16</f>
        <v>1246.6666666666667</v>
      </c>
      <c r="P16" s="10">
        <f>O16*L16</f>
        <v>781660</v>
      </c>
    </row>
    <row r="17" spans="1:38" ht="15.75" x14ac:dyDescent="0.25">
      <c r="A17" s="127">
        <v>2200</v>
      </c>
      <c r="B17" s="12" t="s">
        <v>280</v>
      </c>
      <c r="C17" s="12" t="s">
        <v>32</v>
      </c>
      <c r="D17" s="19">
        <v>7040</v>
      </c>
      <c r="E17" s="127">
        <v>1.3</v>
      </c>
      <c r="F17" s="127">
        <v>52</v>
      </c>
      <c r="G17" s="16">
        <f>H17*100/F17</f>
        <v>115.38461538461539</v>
      </c>
      <c r="H17" s="127">
        <v>60</v>
      </c>
      <c r="I17" s="17">
        <f>1/(H17/(10*F17))</f>
        <v>8.6666666666666661</v>
      </c>
      <c r="J17" s="127">
        <v>40</v>
      </c>
      <c r="K17" s="17">
        <f>I17-(I17/100*J17)</f>
        <v>5.1999999999999993</v>
      </c>
      <c r="L17" s="8">
        <v>908</v>
      </c>
      <c r="M17" s="8">
        <f>E17*L17</f>
        <v>1180.4000000000001</v>
      </c>
      <c r="N17" s="9">
        <f>A17/K17</f>
        <v>423.07692307692315</v>
      </c>
      <c r="O17" s="9">
        <f>E17*N17</f>
        <v>550.00000000000011</v>
      </c>
      <c r="P17" s="10">
        <f>O17*L17</f>
        <v>499400.00000000012</v>
      </c>
    </row>
    <row r="18" spans="1:38" ht="15.75" x14ac:dyDescent="0.25">
      <c r="A18" s="127"/>
      <c r="B18" s="335" t="s">
        <v>35</v>
      </c>
      <c r="C18" s="335"/>
      <c r="D18" s="335"/>
      <c r="E18" s="335"/>
      <c r="F18" s="335"/>
      <c r="G18" s="335"/>
      <c r="H18" s="127">
        <f>SUM(H16:H17)</f>
        <v>180</v>
      </c>
      <c r="I18" s="274" t="s">
        <v>223</v>
      </c>
      <c r="J18" s="274"/>
      <c r="K18" s="274"/>
      <c r="L18" s="274"/>
      <c r="M18" s="274"/>
      <c r="N18" s="274"/>
      <c r="O18" s="274"/>
      <c r="P18" s="10"/>
    </row>
    <row r="19" spans="1:38" ht="15.75" x14ac:dyDescent="0.25">
      <c r="P19" s="10"/>
    </row>
    <row r="20" spans="1:38" ht="15.75" x14ac:dyDescent="0.25">
      <c r="P20" s="10">
        <f>SUM(P16:P19)</f>
        <v>1281060</v>
      </c>
    </row>
    <row r="23" spans="1:38" x14ac:dyDescent="0.25">
      <c r="AK23" t="s">
        <v>292</v>
      </c>
      <c r="AL23">
        <v>5866.35</v>
      </c>
    </row>
    <row r="24" spans="1:38" x14ac:dyDescent="0.25">
      <c r="AK24" t="s">
        <v>293</v>
      </c>
      <c r="AL24">
        <v>293.32</v>
      </c>
    </row>
    <row r="26" spans="1:38" x14ac:dyDescent="0.25">
      <c r="C26">
        <f>P20/P9</f>
        <v>5578.5517755483716</v>
      </c>
      <c r="W26" t="s">
        <v>19</v>
      </c>
      <c r="X26">
        <v>1</v>
      </c>
      <c r="Y26">
        <v>45</v>
      </c>
      <c r="AB26">
        <v>245</v>
      </c>
      <c r="AF26" s="133">
        <v>0.55000000000000004</v>
      </c>
    </row>
    <row r="27" spans="1:38" x14ac:dyDescent="0.25">
      <c r="W27" t="s">
        <v>19</v>
      </c>
      <c r="X27">
        <v>2</v>
      </c>
      <c r="Y27">
        <v>15</v>
      </c>
      <c r="AB27">
        <v>215</v>
      </c>
      <c r="AF27" s="133">
        <v>0.55000000000000004</v>
      </c>
    </row>
    <row r="30" spans="1:38" ht="15.75" x14ac:dyDescent="0.25">
      <c r="A30" s="278" t="s">
        <v>220</v>
      </c>
      <c r="B30" s="278" t="s">
        <v>1</v>
      </c>
      <c r="C30" s="278" t="s">
        <v>2</v>
      </c>
      <c r="D30" s="278" t="s">
        <v>3</v>
      </c>
      <c r="E30" s="278" t="s">
        <v>4</v>
      </c>
      <c r="F30" s="278" t="s">
        <v>5</v>
      </c>
      <c r="G30" s="278" t="s">
        <v>6</v>
      </c>
      <c r="H30" s="278"/>
      <c r="I30" s="278"/>
      <c r="J30" s="278"/>
      <c r="K30" s="278"/>
      <c r="L30" s="278" t="s">
        <v>8</v>
      </c>
      <c r="M30" s="278" t="s">
        <v>9</v>
      </c>
      <c r="N30" s="278" t="s">
        <v>10</v>
      </c>
      <c r="O30" s="278" t="s">
        <v>10</v>
      </c>
      <c r="P30" s="319" t="s">
        <v>12</v>
      </c>
      <c r="AL30">
        <f>AL23/27</f>
        <v>217.27222222222224</v>
      </c>
    </row>
    <row r="31" spans="1:38" x14ac:dyDescent="0.25">
      <c r="A31" s="278"/>
      <c r="B31" s="278"/>
      <c r="C31" s="278"/>
      <c r="D31" s="278"/>
      <c r="E31" s="278"/>
      <c r="F31" s="278"/>
      <c r="G31" s="278" t="s">
        <v>13</v>
      </c>
      <c r="H31" s="278" t="s">
        <v>14</v>
      </c>
      <c r="I31" s="278" t="s">
        <v>15</v>
      </c>
      <c r="J31" s="278" t="s">
        <v>16</v>
      </c>
      <c r="K31" s="278" t="s">
        <v>17</v>
      </c>
      <c r="L31" s="278"/>
      <c r="M31" s="278"/>
      <c r="N31" s="278"/>
      <c r="O31" s="278"/>
      <c r="P31" s="320"/>
    </row>
    <row r="32" spans="1:38" x14ac:dyDescent="0.25">
      <c r="A32" s="278"/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321"/>
      <c r="Q32" t="s">
        <v>296</v>
      </c>
    </row>
    <row r="33" spans="1:36" ht="15.75" x14ac:dyDescent="0.25">
      <c r="A33" s="131" t="s">
        <v>18</v>
      </c>
      <c r="B33" s="131" t="s">
        <v>19</v>
      </c>
      <c r="C33" s="131"/>
      <c r="D33" s="131" t="s">
        <v>20</v>
      </c>
      <c r="E33" s="131" t="s">
        <v>21</v>
      </c>
      <c r="F33" s="131" t="s">
        <v>22</v>
      </c>
      <c r="G33" s="131" t="s">
        <v>23</v>
      </c>
      <c r="H33" s="131" t="s">
        <v>23</v>
      </c>
      <c r="I33" s="131" t="s">
        <v>24</v>
      </c>
      <c r="J33" s="131" t="s">
        <v>22</v>
      </c>
      <c r="K33" s="131" t="s">
        <v>24</v>
      </c>
      <c r="L33" s="131" t="s">
        <v>25</v>
      </c>
      <c r="M33" s="131" t="s">
        <v>25</v>
      </c>
      <c r="N33" s="131" t="s">
        <v>26</v>
      </c>
      <c r="O33" s="131" t="s">
        <v>27</v>
      </c>
      <c r="P33" s="132" t="s">
        <v>28</v>
      </c>
    </row>
    <row r="34" spans="1:36" ht="15.75" x14ac:dyDescent="0.25">
      <c r="A34" s="144">
        <v>3252</v>
      </c>
      <c r="B34" s="12" t="s">
        <v>295</v>
      </c>
      <c r="C34" s="12" t="s">
        <v>29</v>
      </c>
      <c r="D34" s="131" t="s">
        <v>30</v>
      </c>
      <c r="E34" s="131">
        <v>1.5</v>
      </c>
      <c r="F34" s="131">
        <v>85</v>
      </c>
      <c r="G34" s="16">
        <f>H34*(100)/F34</f>
        <v>235.29411764705881</v>
      </c>
      <c r="H34" s="144">
        <v>200</v>
      </c>
      <c r="I34" s="17">
        <f>1/(H34/(10*F34))</f>
        <v>4.25</v>
      </c>
      <c r="J34" s="131">
        <v>55</v>
      </c>
      <c r="K34" s="17">
        <f>I34-(I34/100*J34)</f>
        <v>1.9124999999999996</v>
      </c>
      <c r="L34" s="8">
        <v>469</v>
      </c>
      <c r="M34" s="8">
        <f>E34*L34</f>
        <v>703.5</v>
      </c>
      <c r="N34" s="9">
        <f>A34/K34</f>
        <v>1700.3921568627454</v>
      </c>
      <c r="O34" s="9">
        <f>E34*N34</f>
        <v>2550.588235294118</v>
      </c>
      <c r="P34" s="10">
        <f>O34*L34</f>
        <v>1196225.8823529414</v>
      </c>
      <c r="Q34">
        <f>P34/1.2</f>
        <v>996854.90196078457</v>
      </c>
      <c r="W34">
        <f>520*AL23</f>
        <v>3050502</v>
      </c>
    </row>
    <row r="35" spans="1:36" ht="15.75" x14ac:dyDescent="0.25">
      <c r="A35" s="144">
        <v>3252</v>
      </c>
      <c r="B35" s="12" t="s">
        <v>295</v>
      </c>
      <c r="C35" s="12" t="s">
        <v>32</v>
      </c>
      <c r="D35" s="19" t="s">
        <v>30</v>
      </c>
      <c r="E35" s="131">
        <v>1.5</v>
      </c>
      <c r="F35" s="131">
        <v>85</v>
      </c>
      <c r="G35" s="16">
        <f>H35*100/F35</f>
        <v>235.29411764705881</v>
      </c>
      <c r="H35" s="144">
        <v>200</v>
      </c>
      <c r="I35" s="17">
        <f>1/(H35/(10*F35))</f>
        <v>4.25</v>
      </c>
      <c r="J35" s="131">
        <v>55</v>
      </c>
      <c r="K35" s="17">
        <f>I35-(I35/100*J35)</f>
        <v>1.9124999999999996</v>
      </c>
      <c r="L35" s="8">
        <v>469</v>
      </c>
      <c r="M35" s="8">
        <f>E35*L35</f>
        <v>703.5</v>
      </c>
      <c r="N35" s="9">
        <f>A35/K35</f>
        <v>1700.3921568627454</v>
      </c>
      <c r="O35" s="9">
        <f>E35*N35</f>
        <v>2550.588235294118</v>
      </c>
      <c r="P35" s="10">
        <f>O35*L35</f>
        <v>1196225.8823529414</v>
      </c>
      <c r="Q35">
        <f t="shared" ref="Q35:Q38" si="0">P35/1.2</f>
        <v>996854.90196078457</v>
      </c>
      <c r="W35">
        <f>293.32*332</f>
        <v>97382.239999999991</v>
      </c>
    </row>
    <row r="36" spans="1:36" ht="15.75" x14ac:dyDescent="0.25">
      <c r="A36" s="131"/>
      <c r="B36" s="12"/>
      <c r="C36" s="12"/>
      <c r="D36" s="19"/>
      <c r="E36" s="131"/>
      <c r="F36" s="131"/>
      <c r="G36" s="16"/>
      <c r="H36" s="131"/>
      <c r="I36" s="135"/>
      <c r="J36" s="136"/>
      <c r="K36" s="137"/>
      <c r="L36" s="138">
        <v>263</v>
      </c>
      <c r="M36" s="139"/>
      <c r="N36" s="9"/>
      <c r="O36" s="9">
        <f>O34*0.05</f>
        <v>127.52941176470591</v>
      </c>
      <c r="P36" s="10">
        <f>O36*L36</f>
        <v>33540.235294117658</v>
      </c>
      <c r="Q36">
        <f t="shared" si="0"/>
        <v>27950.196078431381</v>
      </c>
    </row>
    <row r="37" spans="1:36" ht="15.75" x14ac:dyDescent="0.25">
      <c r="A37" s="131"/>
      <c r="B37" s="12"/>
      <c r="C37" s="12"/>
      <c r="D37" s="19"/>
      <c r="E37" s="131"/>
      <c r="F37" s="131"/>
      <c r="G37" s="16"/>
      <c r="H37" s="131"/>
      <c r="I37" s="135"/>
      <c r="J37" s="136"/>
      <c r="K37" s="137"/>
      <c r="L37" s="138">
        <v>263</v>
      </c>
      <c r="M37" s="139"/>
      <c r="N37" s="9"/>
      <c r="O37" s="9">
        <f>O35*0.05</f>
        <v>127.52941176470591</v>
      </c>
      <c r="P37" s="10">
        <f>O37*L37</f>
        <v>33540.235294117658</v>
      </c>
      <c r="Q37">
        <f t="shared" si="0"/>
        <v>27950.196078431381</v>
      </c>
    </row>
    <row r="38" spans="1:36" ht="15.75" x14ac:dyDescent="0.25">
      <c r="A38" s="131"/>
      <c r="B38" s="335" t="s">
        <v>35</v>
      </c>
      <c r="C38" s="335"/>
      <c r="D38" s="335"/>
      <c r="E38" s="335"/>
      <c r="F38" s="335"/>
      <c r="G38" s="335"/>
      <c r="H38" s="131">
        <f>SUM(H34:H35)</f>
        <v>400</v>
      </c>
      <c r="I38" s="344" t="s">
        <v>223</v>
      </c>
      <c r="J38" s="301"/>
      <c r="K38" s="301"/>
      <c r="L38" s="301"/>
      <c r="M38" s="345"/>
      <c r="N38" s="120"/>
      <c r="O38" s="120"/>
      <c r="P38" s="41">
        <f>SUM(P34:P37)</f>
        <v>2459532.2352941181</v>
      </c>
      <c r="Q38">
        <f t="shared" si="0"/>
        <v>2049610.1960784318</v>
      </c>
    </row>
    <row r="41" spans="1:36" ht="15.75" x14ac:dyDescent="0.25">
      <c r="A41" s="278" t="s">
        <v>220</v>
      </c>
      <c r="B41" s="278" t="s">
        <v>1</v>
      </c>
      <c r="C41" s="278" t="s">
        <v>2</v>
      </c>
      <c r="D41" s="278" t="s">
        <v>3</v>
      </c>
      <c r="E41" s="278" t="s">
        <v>4</v>
      </c>
      <c r="F41" s="278" t="s">
        <v>5</v>
      </c>
      <c r="G41" s="278" t="s">
        <v>6</v>
      </c>
      <c r="H41" s="278"/>
      <c r="I41" s="278"/>
      <c r="J41" s="278"/>
      <c r="K41" s="278"/>
      <c r="L41" s="278" t="s">
        <v>8</v>
      </c>
      <c r="M41" s="278" t="s">
        <v>9</v>
      </c>
      <c r="N41" s="278" t="s">
        <v>10</v>
      </c>
      <c r="O41" s="278" t="s">
        <v>10</v>
      </c>
      <c r="P41" s="319" t="s">
        <v>12</v>
      </c>
      <c r="AB41">
        <v>972</v>
      </c>
      <c r="AC41" t="s">
        <v>294</v>
      </c>
    </row>
    <row r="42" spans="1:36" x14ac:dyDescent="0.25">
      <c r="A42" s="278"/>
      <c r="B42" s="278"/>
      <c r="C42" s="278"/>
      <c r="D42" s="278"/>
      <c r="E42" s="278"/>
      <c r="F42" s="278"/>
      <c r="G42" s="278" t="s">
        <v>13</v>
      </c>
      <c r="H42" s="278" t="s">
        <v>14</v>
      </c>
      <c r="I42" s="278" t="s">
        <v>15</v>
      </c>
      <c r="J42" s="278" t="s">
        <v>16</v>
      </c>
      <c r="K42" s="278" t="s">
        <v>17</v>
      </c>
      <c r="L42" s="278"/>
      <c r="M42" s="278"/>
      <c r="N42" s="278"/>
      <c r="O42" s="278"/>
      <c r="P42" s="320"/>
      <c r="T42" s="134">
        <f>P38-T43</f>
        <v>227098.23529411806</v>
      </c>
    </row>
    <row r="43" spans="1:36" x14ac:dyDescent="0.25">
      <c r="A43" s="278"/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321"/>
      <c r="T43">
        <v>2232434</v>
      </c>
    </row>
    <row r="44" spans="1:36" ht="15.75" x14ac:dyDescent="0.25">
      <c r="A44" s="142" t="s">
        <v>18</v>
      </c>
      <c r="B44" s="142" t="s">
        <v>19</v>
      </c>
      <c r="C44" s="142"/>
      <c r="D44" s="142" t="s">
        <v>20</v>
      </c>
      <c r="E44" s="142" t="s">
        <v>21</v>
      </c>
      <c r="F44" s="142" t="s">
        <v>22</v>
      </c>
      <c r="G44" s="142" t="s">
        <v>23</v>
      </c>
      <c r="H44" s="142" t="s">
        <v>23</v>
      </c>
      <c r="I44" s="142" t="s">
        <v>24</v>
      </c>
      <c r="J44" s="142" t="s">
        <v>22</v>
      </c>
      <c r="K44" s="142" t="s">
        <v>24</v>
      </c>
      <c r="L44" s="142" t="s">
        <v>25</v>
      </c>
      <c r="M44" s="142" t="s">
        <v>25</v>
      </c>
      <c r="N44" s="142" t="s">
        <v>26</v>
      </c>
      <c r="O44" s="142" t="s">
        <v>27</v>
      </c>
      <c r="P44" s="143" t="s">
        <v>28</v>
      </c>
      <c r="AJ44">
        <f>392*27</f>
        <v>10584</v>
      </c>
    </row>
    <row r="45" spans="1:36" ht="15.75" x14ac:dyDescent="0.25">
      <c r="A45" s="144">
        <v>3252</v>
      </c>
      <c r="B45" s="12" t="s">
        <v>295</v>
      </c>
      <c r="C45" s="12" t="s">
        <v>29</v>
      </c>
      <c r="D45" s="142" t="s">
        <v>30</v>
      </c>
      <c r="E45" s="142">
        <v>1.5</v>
      </c>
      <c r="F45" s="142">
        <v>85</v>
      </c>
      <c r="G45" s="16">
        <f>H45*(100)/F45</f>
        <v>258.8235294117647</v>
      </c>
      <c r="H45" s="142">
        <f>175+45</f>
        <v>220</v>
      </c>
      <c r="I45" s="17">
        <f>1/(H45/(10*F45))</f>
        <v>3.8636363636363633</v>
      </c>
      <c r="J45" s="142">
        <v>5</v>
      </c>
      <c r="K45" s="17">
        <f>I45-(I45/100*J45)</f>
        <v>3.670454545454545</v>
      </c>
      <c r="L45" s="8">
        <v>511</v>
      </c>
      <c r="M45" s="8">
        <f>E45*L45</f>
        <v>766.5</v>
      </c>
      <c r="N45" s="9">
        <f>A45/K45</f>
        <v>885.99380804953569</v>
      </c>
      <c r="O45" s="9">
        <f>E45*N45</f>
        <v>1328.9907120743035</v>
      </c>
      <c r="P45" s="10">
        <f>O45*L45</f>
        <v>679114.25386996905</v>
      </c>
    </row>
    <row r="46" spans="1:36" ht="15.75" x14ac:dyDescent="0.25">
      <c r="A46" s="144">
        <v>3252</v>
      </c>
      <c r="B46" s="12" t="s">
        <v>295</v>
      </c>
      <c r="C46" s="12" t="s">
        <v>32</v>
      </c>
      <c r="D46" s="19" t="s">
        <v>30</v>
      </c>
      <c r="E46" s="142">
        <v>1.5</v>
      </c>
      <c r="F46" s="142">
        <v>85</v>
      </c>
      <c r="G46" s="16">
        <f>H46*100/F46</f>
        <v>223.52941176470588</v>
      </c>
      <c r="H46" s="142">
        <f>175+15</f>
        <v>190</v>
      </c>
      <c r="I46" s="17">
        <f>1/(H46/(10*F46))</f>
        <v>4.4736842105263159</v>
      </c>
      <c r="J46" s="142">
        <v>0</v>
      </c>
      <c r="K46" s="17">
        <f>I46-(I46/100*J46)</f>
        <v>4.4736842105263159</v>
      </c>
      <c r="L46" s="8">
        <v>511</v>
      </c>
      <c r="M46" s="8">
        <f>E46*L46</f>
        <v>766.5</v>
      </c>
      <c r="N46" s="9">
        <f>A46/K46</f>
        <v>726.91764705882349</v>
      </c>
      <c r="O46" s="9">
        <f>E46*N46</f>
        <v>1090.3764705882352</v>
      </c>
      <c r="P46" s="10">
        <f>O46*L46</f>
        <v>557182.37647058815</v>
      </c>
    </row>
    <row r="47" spans="1:36" ht="15.75" x14ac:dyDescent="0.25">
      <c r="A47" s="142"/>
      <c r="B47" s="12"/>
      <c r="C47" s="12"/>
      <c r="D47" s="19"/>
      <c r="E47" s="142"/>
      <c r="F47" s="142"/>
      <c r="G47" s="16"/>
      <c r="H47" s="142"/>
      <c r="I47" s="135"/>
      <c r="J47" s="136"/>
      <c r="K47" s="137"/>
      <c r="L47" s="138">
        <v>200</v>
      </c>
      <c r="M47" s="139"/>
      <c r="N47" s="9"/>
      <c r="O47" s="9">
        <f>O45*0.05</f>
        <v>66.449535603715177</v>
      </c>
      <c r="P47" s="10">
        <f>O47*L47</f>
        <v>13289.907120743035</v>
      </c>
    </row>
    <row r="48" spans="1:36" ht="15.75" x14ac:dyDescent="0.25">
      <c r="A48" s="142"/>
      <c r="B48" s="12"/>
      <c r="C48" s="12"/>
      <c r="D48" s="19"/>
      <c r="E48" s="142"/>
      <c r="F48" s="142"/>
      <c r="G48" s="16"/>
      <c r="H48" s="142"/>
      <c r="I48" s="135"/>
      <c r="J48" s="136"/>
      <c r="K48" s="137"/>
      <c r="L48" s="138">
        <v>200</v>
      </c>
      <c r="M48" s="139"/>
      <c r="N48" s="9"/>
      <c r="O48" s="9">
        <f>O46*0.05</f>
        <v>54.518823529411762</v>
      </c>
      <c r="P48" s="10">
        <f>O48*L48</f>
        <v>10903.764705882353</v>
      </c>
    </row>
    <row r="49" spans="1:20" ht="15.75" x14ac:dyDescent="0.25">
      <c r="A49" s="142"/>
      <c r="B49" s="335" t="s">
        <v>35</v>
      </c>
      <c r="C49" s="335"/>
      <c r="D49" s="335"/>
      <c r="E49" s="335"/>
      <c r="F49" s="335"/>
      <c r="G49" s="335"/>
      <c r="H49" s="142">
        <f>SUM(H45:H46)</f>
        <v>410</v>
      </c>
      <c r="I49" s="344" t="s">
        <v>223</v>
      </c>
      <c r="J49" s="301"/>
      <c r="K49" s="301"/>
      <c r="L49" s="301"/>
      <c r="M49" s="345"/>
      <c r="N49" s="120"/>
      <c r="O49" s="120"/>
      <c r="P49" s="41">
        <f>SUM(P45:P48)</f>
        <v>1260490.3021671826</v>
      </c>
    </row>
    <row r="51" spans="1:20" ht="16.5" customHeight="1" x14ac:dyDescent="0.25">
      <c r="A51" s="278" t="s">
        <v>220</v>
      </c>
      <c r="B51" s="278" t="s">
        <v>1</v>
      </c>
      <c r="C51" s="278" t="s">
        <v>2</v>
      </c>
      <c r="D51" s="278" t="s">
        <v>3</v>
      </c>
      <c r="E51" s="278" t="s">
        <v>4</v>
      </c>
      <c r="F51" s="278" t="s">
        <v>5</v>
      </c>
      <c r="G51" s="278" t="s">
        <v>6</v>
      </c>
      <c r="H51" s="278"/>
      <c r="I51" s="278"/>
      <c r="J51" s="278"/>
      <c r="K51" s="278"/>
      <c r="L51" s="278" t="s">
        <v>8</v>
      </c>
      <c r="M51" s="278" t="s">
        <v>9</v>
      </c>
      <c r="N51" s="278" t="s">
        <v>10</v>
      </c>
      <c r="O51" s="278" t="s">
        <v>336</v>
      </c>
      <c r="P51" s="319" t="s">
        <v>12</v>
      </c>
    </row>
    <row r="52" spans="1:20" ht="16.5" customHeight="1" x14ac:dyDescent="0.25">
      <c r="A52" s="278"/>
      <c r="B52" s="278"/>
      <c r="C52" s="278"/>
      <c r="D52" s="278"/>
      <c r="E52" s="278"/>
      <c r="F52" s="278"/>
      <c r="G52" s="278" t="s">
        <v>13</v>
      </c>
      <c r="H52" s="278" t="s">
        <v>14</v>
      </c>
      <c r="I52" s="278" t="s">
        <v>15</v>
      </c>
      <c r="J52" s="278" t="s">
        <v>16</v>
      </c>
      <c r="K52" s="278" t="s">
        <v>17</v>
      </c>
      <c r="L52" s="278"/>
      <c r="M52" s="278"/>
      <c r="N52" s="278"/>
      <c r="O52" s="278"/>
      <c r="P52" s="320"/>
    </row>
    <row r="53" spans="1:20" ht="16.5" customHeight="1" x14ac:dyDescent="0.25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8"/>
      <c r="O53" s="278"/>
      <c r="P53" s="321"/>
      <c r="Q53" t="s">
        <v>296</v>
      </c>
    </row>
    <row r="54" spans="1:20" ht="16.5" customHeight="1" x14ac:dyDescent="0.25">
      <c r="A54" s="146" t="s">
        <v>18</v>
      </c>
      <c r="B54" s="146" t="s">
        <v>19</v>
      </c>
      <c r="C54" s="146"/>
      <c r="D54" s="146" t="s">
        <v>20</v>
      </c>
      <c r="E54" s="146" t="s">
        <v>21</v>
      </c>
      <c r="F54" s="146" t="s">
        <v>22</v>
      </c>
      <c r="G54" s="146" t="s">
        <v>23</v>
      </c>
      <c r="H54" s="146" t="s">
        <v>23</v>
      </c>
      <c r="I54" s="146" t="s">
        <v>24</v>
      </c>
      <c r="J54" s="146" t="s">
        <v>22</v>
      </c>
      <c r="K54" s="146" t="s">
        <v>24</v>
      </c>
      <c r="L54" s="146" t="s">
        <v>25</v>
      </c>
      <c r="M54" s="146" t="s">
        <v>25</v>
      </c>
      <c r="N54" s="146" t="s">
        <v>26</v>
      </c>
      <c r="O54" s="146" t="s">
        <v>339</v>
      </c>
      <c r="P54" s="147" t="s">
        <v>25</v>
      </c>
    </row>
    <row r="55" spans="1:20" ht="16.5" customHeight="1" x14ac:dyDescent="0.25">
      <c r="A55" s="146">
        <v>25600</v>
      </c>
      <c r="B55" s="12" t="s">
        <v>337</v>
      </c>
      <c r="C55" s="12" t="s">
        <v>29</v>
      </c>
      <c r="D55" s="146" t="s">
        <v>30</v>
      </c>
      <c r="E55" s="146">
        <v>1.5</v>
      </c>
      <c r="F55" s="146">
        <v>85</v>
      </c>
      <c r="G55" s="16">
        <f>H55*(100)/F55</f>
        <v>205.88235294117646</v>
      </c>
      <c r="H55" s="146">
        <v>175</v>
      </c>
      <c r="I55" s="17">
        <f>1/(H55/(10*F55))</f>
        <v>4.8571428571428577</v>
      </c>
      <c r="J55" s="146">
        <v>55</v>
      </c>
      <c r="K55" s="17">
        <f>I55-(I55/100*J55)</f>
        <v>2.1857142857142859</v>
      </c>
      <c r="L55" s="8">
        <v>520</v>
      </c>
      <c r="M55" s="8">
        <f>E55*L55</f>
        <v>780</v>
      </c>
      <c r="N55" s="9">
        <f>A55/K55</f>
        <v>11712.418300653593</v>
      </c>
      <c r="O55" s="9">
        <f>E55*N55</f>
        <v>17568.627450980392</v>
      </c>
      <c r="P55" s="10">
        <f>O55*L55</f>
        <v>9135686.2745098043</v>
      </c>
      <c r="Q55">
        <f>P55/1.2</f>
        <v>7613071.8954248372</v>
      </c>
    </row>
    <row r="56" spans="1:20" ht="16.5" customHeight="1" x14ac:dyDescent="0.25">
      <c r="A56" s="146">
        <v>25600</v>
      </c>
      <c r="B56" s="12" t="s">
        <v>338</v>
      </c>
      <c r="C56" s="12" t="s">
        <v>29</v>
      </c>
      <c r="D56" s="19" t="s">
        <v>30</v>
      </c>
      <c r="E56" s="146">
        <v>1.5</v>
      </c>
      <c r="F56" s="146">
        <v>85</v>
      </c>
      <c r="G56" s="16">
        <f>H56*100/F56</f>
        <v>205.88235294117646</v>
      </c>
      <c r="H56" s="146">
        <v>175</v>
      </c>
      <c r="I56" s="17">
        <f>1/(H56/(10*F56))</f>
        <v>4.8571428571428577</v>
      </c>
      <c r="J56" s="146">
        <v>55</v>
      </c>
      <c r="K56" s="17">
        <f>I56-(I56/100*J56)</f>
        <v>2.1857142857142859</v>
      </c>
      <c r="L56" s="8">
        <v>520</v>
      </c>
      <c r="M56" s="8">
        <f>E56*L56</f>
        <v>780</v>
      </c>
      <c r="N56" s="9">
        <f>A56/K56</f>
        <v>11712.418300653593</v>
      </c>
      <c r="O56" s="9">
        <f>E56*N56</f>
        <v>17568.627450980392</v>
      </c>
      <c r="P56" s="10">
        <f>O56*L56</f>
        <v>9135686.2745098043</v>
      </c>
      <c r="Q56">
        <f t="shared" ref="Q56:Q59" si="1">P56/1.2</f>
        <v>7613071.8954248372</v>
      </c>
    </row>
    <row r="57" spans="1:20" ht="16.5" customHeight="1" x14ac:dyDescent="0.25">
      <c r="A57" s="146"/>
      <c r="B57" s="12" t="s">
        <v>334</v>
      </c>
      <c r="C57" s="12"/>
      <c r="D57" s="19"/>
      <c r="E57" s="146"/>
      <c r="F57" s="146"/>
      <c r="G57" s="16"/>
      <c r="H57" s="146"/>
      <c r="I57" s="135"/>
      <c r="J57" s="136"/>
      <c r="K57" s="137"/>
      <c r="L57" s="138">
        <v>322</v>
      </c>
      <c r="M57" s="139"/>
      <c r="N57" s="9"/>
      <c r="O57" s="9">
        <f>O55*0.05</f>
        <v>878.43137254901967</v>
      </c>
      <c r="P57" s="10">
        <f>O57*L57</f>
        <v>282854.90196078434</v>
      </c>
      <c r="Q57">
        <f t="shared" si="1"/>
        <v>235712.41830065363</v>
      </c>
    </row>
    <row r="58" spans="1:20" ht="16.5" customHeight="1" x14ac:dyDescent="0.25">
      <c r="A58" s="146"/>
      <c r="B58" s="12" t="s">
        <v>335</v>
      </c>
      <c r="C58" s="12"/>
      <c r="D58" s="19"/>
      <c r="E58" s="146"/>
      <c r="F58" s="146"/>
      <c r="G58" s="16"/>
      <c r="H58" s="146"/>
      <c r="I58" s="135"/>
      <c r="J58" s="136"/>
      <c r="K58" s="137"/>
      <c r="L58" s="138">
        <v>322</v>
      </c>
      <c r="M58" s="139"/>
      <c r="N58" s="9"/>
      <c r="O58" s="9">
        <f>O56*0.05</f>
        <v>878.43137254901967</v>
      </c>
      <c r="P58" s="10">
        <f>O58*L58</f>
        <v>282854.90196078434</v>
      </c>
      <c r="Q58">
        <f t="shared" si="1"/>
        <v>235712.41830065363</v>
      </c>
    </row>
    <row r="59" spans="1:20" ht="16.5" customHeight="1" x14ac:dyDescent="0.25">
      <c r="A59" s="146"/>
      <c r="B59" s="335" t="s">
        <v>35</v>
      </c>
      <c r="C59" s="335"/>
      <c r="D59" s="335"/>
      <c r="E59" s="335"/>
      <c r="F59" s="335"/>
      <c r="G59" s="335"/>
      <c r="H59" s="146">
        <f>SUM(H55:H56)</f>
        <v>350</v>
      </c>
      <c r="I59" s="344" t="s">
        <v>223</v>
      </c>
      <c r="J59" s="301"/>
      <c r="K59" s="301"/>
      <c r="L59" s="301"/>
      <c r="M59" s="345"/>
      <c r="N59" s="120"/>
      <c r="O59" s="120"/>
      <c r="P59" s="41">
        <f>SUM(P55:P58)</f>
        <v>18837082.352941174</v>
      </c>
      <c r="Q59">
        <f t="shared" si="1"/>
        <v>15697568.627450978</v>
      </c>
    </row>
    <row r="60" spans="1:20" x14ac:dyDescent="0.25">
      <c r="Q60">
        <f t="shared" ref="Q60" si="2">P60/1.2</f>
        <v>0</v>
      </c>
    </row>
    <row r="62" spans="1:20" ht="15.75" x14ac:dyDescent="0.25">
      <c r="A62" s="278" t="s">
        <v>220</v>
      </c>
      <c r="B62" s="278" t="s">
        <v>1</v>
      </c>
      <c r="C62" s="278" t="s">
        <v>2</v>
      </c>
      <c r="D62" s="278" t="s">
        <v>3</v>
      </c>
      <c r="E62" s="278" t="s">
        <v>4</v>
      </c>
      <c r="F62" s="278" t="s">
        <v>5</v>
      </c>
      <c r="G62" s="278" t="s">
        <v>6</v>
      </c>
      <c r="H62" s="278"/>
      <c r="I62" s="278"/>
      <c r="J62" s="278"/>
      <c r="K62" s="278"/>
      <c r="L62" s="278" t="s">
        <v>8</v>
      </c>
      <c r="M62" s="278" t="s">
        <v>9</v>
      </c>
      <c r="N62" s="278" t="s">
        <v>10</v>
      </c>
      <c r="O62" s="278" t="s">
        <v>10</v>
      </c>
      <c r="P62" s="319" t="s">
        <v>12</v>
      </c>
    </row>
    <row r="63" spans="1:20" x14ac:dyDescent="0.25">
      <c r="A63" s="278"/>
      <c r="B63" s="278"/>
      <c r="C63" s="278"/>
      <c r="D63" s="278"/>
      <c r="E63" s="278"/>
      <c r="F63" s="278"/>
      <c r="G63" s="278" t="s">
        <v>13</v>
      </c>
      <c r="H63" s="278" t="s">
        <v>14</v>
      </c>
      <c r="I63" s="278" t="s">
        <v>15</v>
      </c>
      <c r="J63" s="278" t="s">
        <v>16</v>
      </c>
      <c r="K63" s="278" t="s">
        <v>17</v>
      </c>
      <c r="L63" s="278"/>
      <c r="M63" s="278"/>
      <c r="N63" s="278"/>
      <c r="O63" s="278"/>
      <c r="P63" s="320"/>
    </row>
    <row r="64" spans="1:20" x14ac:dyDescent="0.25">
      <c r="A64" s="278"/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278"/>
      <c r="O64" s="278"/>
      <c r="P64" s="321"/>
      <c r="Q64" t="s">
        <v>296</v>
      </c>
      <c r="T64">
        <f>661/1.2</f>
        <v>550.83333333333337</v>
      </c>
    </row>
    <row r="65" spans="1:17" ht="15.75" x14ac:dyDescent="0.25">
      <c r="A65" s="146" t="s">
        <v>18</v>
      </c>
      <c r="B65" s="146" t="s">
        <v>19</v>
      </c>
      <c r="C65" s="146"/>
      <c r="D65" s="146" t="s">
        <v>20</v>
      </c>
      <c r="E65" s="146" t="s">
        <v>21</v>
      </c>
      <c r="F65" s="146" t="s">
        <v>22</v>
      </c>
      <c r="G65" s="146" t="s">
        <v>23</v>
      </c>
      <c r="H65" s="146" t="s">
        <v>23</v>
      </c>
      <c r="I65" s="146" t="s">
        <v>24</v>
      </c>
      <c r="J65" s="146" t="s">
        <v>22</v>
      </c>
      <c r="K65" s="146" t="s">
        <v>24</v>
      </c>
      <c r="L65" s="146" t="s">
        <v>25</v>
      </c>
      <c r="M65" s="146" t="s">
        <v>25</v>
      </c>
      <c r="N65" s="146" t="s">
        <v>26</v>
      </c>
      <c r="O65" s="146" t="s">
        <v>27</v>
      </c>
      <c r="P65" s="147" t="s">
        <v>28</v>
      </c>
    </row>
    <row r="66" spans="1:17" ht="15.75" x14ac:dyDescent="0.25">
      <c r="A66" s="146">
        <v>1</v>
      </c>
      <c r="B66" s="12" t="s">
        <v>295</v>
      </c>
      <c r="C66" s="12" t="s">
        <v>29</v>
      </c>
      <c r="D66" s="146" t="s">
        <v>30</v>
      </c>
      <c r="E66" s="146">
        <v>1.5</v>
      </c>
      <c r="F66" s="146">
        <v>85</v>
      </c>
      <c r="G66" s="16">
        <f>H66*(100)/F66</f>
        <v>235.29411764705881</v>
      </c>
      <c r="H66" s="146">
        <v>200</v>
      </c>
      <c r="I66" s="17">
        <f>1/(H66/(10*F66))</f>
        <v>4.25</v>
      </c>
      <c r="J66" s="146">
        <v>55</v>
      </c>
      <c r="K66" s="17">
        <f>I66-(I66/100*J66)</f>
        <v>1.9124999999999996</v>
      </c>
      <c r="L66" s="8">
        <v>469</v>
      </c>
      <c r="M66" s="8">
        <f>E66*L66</f>
        <v>703.5</v>
      </c>
      <c r="N66" s="9">
        <f>A66/K66</f>
        <v>0.52287581699346419</v>
      </c>
      <c r="O66" s="9">
        <f>E66*N66</f>
        <v>0.78431372549019629</v>
      </c>
      <c r="P66" s="10">
        <f>O66*L66</f>
        <v>367.84313725490205</v>
      </c>
      <c r="Q66">
        <f>P66/1.2</f>
        <v>306.53594771241836</v>
      </c>
    </row>
    <row r="67" spans="1:17" ht="15.75" x14ac:dyDescent="0.25">
      <c r="A67" s="146">
        <v>1</v>
      </c>
      <c r="B67" s="12" t="s">
        <v>295</v>
      </c>
      <c r="C67" s="12" t="s">
        <v>32</v>
      </c>
      <c r="D67" s="19" t="s">
        <v>30</v>
      </c>
      <c r="E67" s="146">
        <v>1.5</v>
      </c>
      <c r="F67" s="146">
        <v>85</v>
      </c>
      <c r="G67" s="16">
        <f>H67*100/F67</f>
        <v>235.29411764705881</v>
      </c>
      <c r="H67" s="146">
        <v>200</v>
      </c>
      <c r="I67" s="17">
        <f>1/(H67/(10*F67))</f>
        <v>4.25</v>
      </c>
      <c r="J67" s="146">
        <v>55</v>
      </c>
      <c r="K67" s="17">
        <f>I67-(I67/100*J67)</f>
        <v>1.9124999999999996</v>
      </c>
      <c r="L67" s="8">
        <v>469</v>
      </c>
      <c r="M67" s="8">
        <f>E67*L67</f>
        <v>703.5</v>
      </c>
      <c r="N67" s="9">
        <f>A67/K67</f>
        <v>0.52287581699346419</v>
      </c>
      <c r="O67" s="9">
        <f>E67*N67</f>
        <v>0.78431372549019629</v>
      </c>
      <c r="P67" s="10">
        <f>O67*L67</f>
        <v>367.84313725490205</v>
      </c>
      <c r="Q67">
        <f t="shared" ref="Q67:Q70" si="3">P67/1.2</f>
        <v>306.53594771241836</v>
      </c>
    </row>
    <row r="68" spans="1:17" ht="15.75" x14ac:dyDescent="0.25">
      <c r="A68" s="146"/>
      <c r="B68" s="12"/>
      <c r="C68" s="12"/>
      <c r="D68" s="19"/>
      <c r="E68" s="146"/>
      <c r="F68" s="146"/>
      <c r="G68" s="16"/>
      <c r="H68" s="146"/>
      <c r="I68" s="135"/>
      <c r="J68" s="136"/>
      <c r="K68" s="137"/>
      <c r="L68" s="138">
        <v>263</v>
      </c>
      <c r="M68" s="139"/>
      <c r="N68" s="9"/>
      <c r="O68" s="9">
        <f>O66*0.05</f>
        <v>3.9215686274509817E-2</v>
      </c>
      <c r="P68" s="10">
        <f>O68*L68</f>
        <v>10.313725490196083</v>
      </c>
      <c r="Q68">
        <f t="shared" si="3"/>
        <v>8.5947712418300686</v>
      </c>
    </row>
    <row r="69" spans="1:17" ht="15.75" x14ac:dyDescent="0.25">
      <c r="A69" s="146"/>
      <c r="B69" s="12"/>
      <c r="C69" s="12"/>
      <c r="D69" s="19"/>
      <c r="E69" s="146"/>
      <c r="F69" s="146"/>
      <c r="G69" s="16"/>
      <c r="H69" s="146"/>
      <c r="I69" s="135"/>
      <c r="J69" s="136"/>
      <c r="K69" s="137"/>
      <c r="L69" s="138">
        <v>263</v>
      </c>
      <c r="M69" s="139"/>
      <c r="N69" s="9"/>
      <c r="O69" s="9">
        <f>O67*0.05</f>
        <v>3.9215686274509817E-2</v>
      </c>
      <c r="P69" s="10">
        <f>O69*L69</f>
        <v>10.313725490196083</v>
      </c>
      <c r="Q69">
        <f t="shared" si="3"/>
        <v>8.5947712418300686</v>
      </c>
    </row>
    <row r="70" spans="1:17" ht="15.75" x14ac:dyDescent="0.25">
      <c r="A70" s="146"/>
      <c r="B70" s="335" t="s">
        <v>35</v>
      </c>
      <c r="C70" s="335"/>
      <c r="D70" s="335"/>
      <c r="E70" s="335"/>
      <c r="F70" s="335"/>
      <c r="G70" s="335"/>
      <c r="H70" s="146">
        <f>SUM(H66:H67)</f>
        <v>400</v>
      </c>
      <c r="I70" s="344" t="s">
        <v>223</v>
      </c>
      <c r="J70" s="301"/>
      <c r="K70" s="301"/>
      <c r="L70" s="301"/>
      <c r="M70" s="345"/>
      <c r="N70" s="120"/>
      <c r="O70" s="120"/>
      <c r="P70" s="41">
        <f>SUM(P66:P69)</f>
        <v>756.31372549019636</v>
      </c>
      <c r="Q70">
        <f t="shared" si="3"/>
        <v>630.26143790849699</v>
      </c>
    </row>
    <row r="73" spans="1:17" x14ac:dyDescent="0.25">
      <c r="N73" s="134">
        <f>P70-P59</f>
        <v>-18836326.039215684</v>
      </c>
    </row>
    <row r="83" spans="10:10" x14ac:dyDescent="0.25">
      <c r="J83">
        <f>L68/1.2</f>
        <v>219.16666666666669</v>
      </c>
    </row>
  </sheetData>
  <mergeCells count="120">
    <mergeCell ref="O41:O43"/>
    <mergeCell ref="P41:P43"/>
    <mergeCell ref="G42:G43"/>
    <mergeCell ref="H42:H43"/>
    <mergeCell ref="I42:I43"/>
    <mergeCell ref="J42:J43"/>
    <mergeCell ref="K42:K43"/>
    <mergeCell ref="F41:F43"/>
    <mergeCell ref="G41:H41"/>
    <mergeCell ref="I41:K41"/>
    <mergeCell ref="L41:L43"/>
    <mergeCell ref="M41:M43"/>
    <mergeCell ref="P30:P32"/>
    <mergeCell ref="O30:O32"/>
    <mergeCell ref="G31:G32"/>
    <mergeCell ref="H31:H32"/>
    <mergeCell ref="I31:I32"/>
    <mergeCell ref="J31:J32"/>
    <mergeCell ref="K31:K32"/>
    <mergeCell ref="G30:H30"/>
    <mergeCell ref="I30:K30"/>
    <mergeCell ref="L30:L32"/>
    <mergeCell ref="M30:M32"/>
    <mergeCell ref="N30:N32"/>
    <mergeCell ref="H2:H3"/>
    <mergeCell ref="D12:D14"/>
    <mergeCell ref="E12:E14"/>
    <mergeCell ref="I2:I3"/>
    <mergeCell ref="J2:J3"/>
    <mergeCell ref="G1:H1"/>
    <mergeCell ref="I1:K1"/>
    <mergeCell ref="F12:F14"/>
    <mergeCell ref="G12:H12"/>
    <mergeCell ref="F1:F3"/>
    <mergeCell ref="H13:H14"/>
    <mergeCell ref="D30:D32"/>
    <mergeCell ref="E30:E32"/>
    <mergeCell ref="F30:F32"/>
    <mergeCell ref="A1:A3"/>
    <mergeCell ref="B1:B3"/>
    <mergeCell ref="C1:C3"/>
    <mergeCell ref="D1:D3"/>
    <mergeCell ref="E1:E3"/>
    <mergeCell ref="B18:G18"/>
    <mergeCell ref="G2:G3"/>
    <mergeCell ref="G13:G14"/>
    <mergeCell ref="B7:G7"/>
    <mergeCell ref="A51:A53"/>
    <mergeCell ref="B51:B53"/>
    <mergeCell ref="C51:C53"/>
    <mergeCell ref="D51:D53"/>
    <mergeCell ref="E51:E53"/>
    <mergeCell ref="I18:O18"/>
    <mergeCell ref="A12:A14"/>
    <mergeCell ref="B12:B14"/>
    <mergeCell ref="C12:C14"/>
    <mergeCell ref="N51:N53"/>
    <mergeCell ref="O51:O53"/>
    <mergeCell ref="B38:G38"/>
    <mergeCell ref="I38:M38"/>
    <mergeCell ref="A41:A43"/>
    <mergeCell ref="B41:B43"/>
    <mergeCell ref="C41:C43"/>
    <mergeCell ref="D41:D43"/>
    <mergeCell ref="E41:E43"/>
    <mergeCell ref="B49:G49"/>
    <mergeCell ref="I49:M49"/>
    <mergeCell ref="N41:N43"/>
    <mergeCell ref="A30:A32"/>
    <mergeCell ref="B30:B32"/>
    <mergeCell ref="C30:C32"/>
    <mergeCell ref="P1:P3"/>
    <mergeCell ref="P12:P14"/>
    <mergeCell ref="I12:K12"/>
    <mergeCell ref="L12:L14"/>
    <mergeCell ref="M12:M14"/>
    <mergeCell ref="N12:N14"/>
    <mergeCell ref="O12:O14"/>
    <mergeCell ref="I13:I14"/>
    <mergeCell ref="J13:J14"/>
    <mergeCell ref="K13:K14"/>
    <mergeCell ref="K2:K3"/>
    <mergeCell ref="I7:O7"/>
    <mergeCell ref="O1:O3"/>
    <mergeCell ref="L1:L3"/>
    <mergeCell ref="M1:M3"/>
    <mergeCell ref="N1:N3"/>
    <mergeCell ref="P51:P53"/>
    <mergeCell ref="G52:G53"/>
    <mergeCell ref="H52:H53"/>
    <mergeCell ref="I52:I53"/>
    <mergeCell ref="J52:J53"/>
    <mergeCell ref="K52:K53"/>
    <mergeCell ref="F51:F53"/>
    <mergeCell ref="G51:H51"/>
    <mergeCell ref="I51:K51"/>
    <mergeCell ref="L51:L53"/>
    <mergeCell ref="M51:M53"/>
    <mergeCell ref="B59:G59"/>
    <mergeCell ref="I59:M59"/>
    <mergeCell ref="A62:A64"/>
    <mergeCell ref="B62:B64"/>
    <mergeCell ref="C62:C64"/>
    <mergeCell ref="D62:D64"/>
    <mergeCell ref="E62:E64"/>
    <mergeCell ref="F62:F64"/>
    <mergeCell ref="G62:H62"/>
    <mergeCell ref="I62:K62"/>
    <mergeCell ref="L62:L64"/>
    <mergeCell ref="M62:M64"/>
    <mergeCell ref="B70:G70"/>
    <mergeCell ref="I70:M70"/>
    <mergeCell ref="N62:N64"/>
    <mergeCell ref="O62:O64"/>
    <mergeCell ref="P62:P64"/>
    <mergeCell ref="G63:G64"/>
    <mergeCell ref="H63:H64"/>
    <mergeCell ref="I63:I64"/>
    <mergeCell ref="J63:J64"/>
    <mergeCell ref="K63:K64"/>
  </mergeCells>
  <pageMargins left="0.7" right="0.7" top="0.75" bottom="0.75" header="0.3" footer="0.3"/>
  <pageSetup paperSize="9" scale="3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9199-B870-4673-916B-8B1054FEA04D}">
  <dimension ref="A1:G6"/>
  <sheetViews>
    <sheetView workbookViewId="0">
      <selection activeCell="G21" sqref="G21"/>
    </sheetView>
  </sheetViews>
  <sheetFormatPr defaultRowHeight="15" x14ac:dyDescent="0.25"/>
  <cols>
    <col min="1" max="1" width="18.28515625" customWidth="1"/>
  </cols>
  <sheetData>
    <row r="1" spans="1:7" x14ac:dyDescent="0.25">
      <c r="B1" s="391" t="s">
        <v>102</v>
      </c>
      <c r="C1" s="391"/>
      <c r="D1" s="391"/>
      <c r="E1" s="391"/>
      <c r="F1" s="391"/>
      <c r="G1" s="391"/>
    </row>
    <row r="2" spans="1:7" x14ac:dyDescent="0.25">
      <c r="B2" t="s">
        <v>157</v>
      </c>
      <c r="C2" t="s">
        <v>329</v>
      </c>
      <c r="D2" t="s">
        <v>330</v>
      </c>
      <c r="E2" t="s">
        <v>331</v>
      </c>
      <c r="F2" t="s">
        <v>332</v>
      </c>
    </row>
    <row r="3" spans="1:7" x14ac:dyDescent="0.25">
      <c r="A3" t="s">
        <v>328</v>
      </c>
      <c r="B3">
        <v>4.5999999999999996</v>
      </c>
      <c r="C3">
        <v>1.54</v>
      </c>
      <c r="D3">
        <v>2.77</v>
      </c>
      <c r="E3">
        <v>780</v>
      </c>
      <c r="F3">
        <f>E3*D3</f>
        <v>2160.6</v>
      </c>
    </row>
    <row r="4" spans="1:7" x14ac:dyDescent="0.25">
      <c r="A4" t="s">
        <v>201</v>
      </c>
      <c r="B4">
        <v>4.5999999999999996</v>
      </c>
      <c r="C4">
        <v>0.98</v>
      </c>
      <c r="D4">
        <f>C4*1.7</f>
        <v>1.6659999999999999</v>
      </c>
      <c r="E4">
        <v>1000</v>
      </c>
      <c r="F4">
        <f>E4*D4</f>
        <v>1666</v>
      </c>
    </row>
    <row r="5" spans="1:7" x14ac:dyDescent="0.25">
      <c r="A5" t="s">
        <v>203</v>
      </c>
      <c r="B5">
        <v>4.5999999999999996</v>
      </c>
      <c r="C5">
        <v>1.1000000000000001</v>
      </c>
      <c r="D5">
        <f>C5*1.2</f>
        <v>1.32</v>
      </c>
      <c r="E5">
        <v>780</v>
      </c>
      <c r="F5">
        <f>E5*D5</f>
        <v>1029.6000000000001</v>
      </c>
    </row>
    <row r="6" spans="1:7" x14ac:dyDescent="0.25">
      <c r="A6" s="129" t="s">
        <v>333</v>
      </c>
      <c r="B6" s="129"/>
      <c r="C6" s="129">
        <v>4.5999999999999996</v>
      </c>
      <c r="D6" s="129">
        <f>C6*1.2</f>
        <v>5.52</v>
      </c>
      <c r="E6" s="129">
        <v>780</v>
      </c>
      <c r="F6" s="129">
        <f>E6*D6</f>
        <v>4305.5999999999995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4818-57D6-43CA-A43C-6124D8CE6A77}">
  <dimension ref="A1:C13"/>
  <sheetViews>
    <sheetView workbookViewId="0">
      <selection activeCell="A7" sqref="A7"/>
    </sheetView>
  </sheetViews>
  <sheetFormatPr defaultRowHeight="15" x14ac:dyDescent="0.25"/>
  <cols>
    <col min="1" max="1" width="26.5703125" style="145" customWidth="1"/>
    <col min="2" max="2" width="28.42578125" style="145" customWidth="1"/>
    <col min="3" max="3" width="20.7109375" style="145" customWidth="1"/>
    <col min="4" max="16384" width="9.140625" style="145"/>
  </cols>
  <sheetData>
    <row r="1" spans="1:3" x14ac:dyDescent="0.25">
      <c r="A1" s="58" t="s">
        <v>241</v>
      </c>
      <c r="B1" s="58" t="s">
        <v>309</v>
      </c>
      <c r="C1" s="145" t="s">
        <v>324</v>
      </c>
    </row>
    <row r="2" spans="1:3" x14ac:dyDescent="0.25">
      <c r="A2" s="58" t="s">
        <v>310</v>
      </c>
      <c r="B2" s="58" t="s">
        <v>320</v>
      </c>
      <c r="C2" s="58"/>
    </row>
    <row r="3" spans="1:3" ht="45" x14ac:dyDescent="0.25">
      <c r="A3" s="58" t="s">
        <v>311</v>
      </c>
      <c r="B3" s="58" t="s">
        <v>321</v>
      </c>
      <c r="C3" s="58" t="s">
        <v>325</v>
      </c>
    </row>
    <row r="4" spans="1:3" x14ac:dyDescent="0.25">
      <c r="A4" s="58" t="s">
        <v>322</v>
      </c>
      <c r="B4" s="58" t="s">
        <v>320</v>
      </c>
      <c r="C4" s="58"/>
    </row>
    <row r="5" spans="1:3" ht="45" x14ac:dyDescent="0.25">
      <c r="A5" s="58" t="s">
        <v>313</v>
      </c>
      <c r="B5" s="58" t="s">
        <v>320</v>
      </c>
      <c r="C5" s="58" t="s">
        <v>327</v>
      </c>
    </row>
    <row r="6" spans="1:3" x14ac:dyDescent="0.25">
      <c r="A6" s="58" t="s">
        <v>314</v>
      </c>
      <c r="B6" s="58" t="s">
        <v>320</v>
      </c>
      <c r="C6" s="58"/>
    </row>
    <row r="7" spans="1:3" x14ac:dyDescent="0.25">
      <c r="A7" s="58" t="s">
        <v>315</v>
      </c>
      <c r="B7" s="58" t="s">
        <v>320</v>
      </c>
      <c r="C7" s="58"/>
    </row>
    <row r="8" spans="1:3" x14ac:dyDescent="0.25">
      <c r="A8" s="58" t="s">
        <v>312</v>
      </c>
      <c r="B8" s="58" t="s">
        <v>320</v>
      </c>
      <c r="C8" s="58"/>
    </row>
    <row r="9" spans="1:3" ht="45" x14ac:dyDescent="0.25">
      <c r="A9" s="58" t="s">
        <v>316</v>
      </c>
      <c r="B9" s="58" t="s">
        <v>320</v>
      </c>
      <c r="C9" s="58" t="s">
        <v>326</v>
      </c>
    </row>
    <row r="10" spans="1:3" x14ac:dyDescent="0.25">
      <c r="A10" s="58" t="s">
        <v>317</v>
      </c>
      <c r="B10" s="58" t="s">
        <v>320</v>
      </c>
      <c r="C10" s="58"/>
    </row>
    <row r="11" spans="1:3" ht="45" x14ac:dyDescent="0.25">
      <c r="A11" s="58" t="s">
        <v>318</v>
      </c>
      <c r="B11" s="58" t="s">
        <v>320</v>
      </c>
      <c r="C11" s="58" t="s">
        <v>327</v>
      </c>
    </row>
    <row r="12" spans="1:3" ht="45" x14ac:dyDescent="0.25">
      <c r="A12" s="58" t="s">
        <v>319</v>
      </c>
      <c r="B12" s="58" t="s">
        <v>320</v>
      </c>
      <c r="C12" s="58" t="s">
        <v>327</v>
      </c>
    </row>
    <row r="13" spans="1:3" x14ac:dyDescent="0.25">
      <c r="A13" s="58" t="s">
        <v>323</v>
      </c>
      <c r="B13" s="58" t="s">
        <v>323</v>
      </c>
      <c r="C13" s="5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2325-C2E8-4517-8735-75B2FC99D705}">
  <dimension ref="A4:J77"/>
  <sheetViews>
    <sheetView zoomScale="85" zoomScaleNormal="85" workbookViewId="0">
      <selection activeCell="F7" sqref="F7"/>
    </sheetView>
  </sheetViews>
  <sheetFormatPr defaultRowHeight="15" x14ac:dyDescent="0.25"/>
  <cols>
    <col min="1" max="1" width="11.85546875" style="64" customWidth="1"/>
    <col min="2" max="2" width="11.7109375" style="64" bestFit="1" customWidth="1"/>
    <col min="3" max="8" width="9.140625" style="64"/>
    <col min="9" max="9" width="3.140625" style="64" customWidth="1"/>
    <col min="10" max="16384" width="9.140625" style="64"/>
  </cols>
  <sheetData>
    <row r="4" spans="1:10" ht="30" x14ac:dyDescent="0.25">
      <c r="H4" s="64" t="s">
        <v>297</v>
      </c>
      <c r="J4" s="64" t="s">
        <v>298</v>
      </c>
    </row>
    <row r="9" spans="1:10" ht="30" x14ac:dyDescent="0.25">
      <c r="A9" s="64" t="s">
        <v>299</v>
      </c>
      <c r="B9" s="398" t="s">
        <v>300</v>
      </c>
      <c r="C9" s="398"/>
      <c r="D9" s="398"/>
    </row>
    <row r="54" spans="1:2" ht="30" x14ac:dyDescent="0.25">
      <c r="A54" s="140" t="s">
        <v>301</v>
      </c>
      <c r="B54" s="58"/>
    </row>
    <row r="55" spans="1:2" ht="30" x14ac:dyDescent="0.25">
      <c r="A55" s="58" t="s">
        <v>241</v>
      </c>
      <c r="B55" s="58" t="s">
        <v>0</v>
      </c>
    </row>
    <row r="56" spans="1:2" x14ac:dyDescent="0.25">
      <c r="A56" s="58" t="s">
        <v>302</v>
      </c>
      <c r="B56" s="58">
        <f>0.977*52.031</f>
        <v>50.834286999999996</v>
      </c>
    </row>
    <row r="57" spans="1:2" x14ac:dyDescent="0.25">
      <c r="A57" s="141" t="s">
        <v>305</v>
      </c>
      <c r="B57" s="58">
        <f>512/16.4*2.5</f>
        <v>78.048780487804891</v>
      </c>
    </row>
    <row r="58" spans="1:2" x14ac:dyDescent="0.25">
      <c r="A58" s="58" t="s">
        <v>303</v>
      </c>
      <c r="B58" s="58">
        <f>0.346*63.69</f>
        <v>22.036739999999998</v>
      </c>
    </row>
    <row r="59" spans="1:2" x14ac:dyDescent="0.25">
      <c r="A59" s="58" t="s">
        <v>166</v>
      </c>
      <c r="B59" s="58">
        <f>(B58+B56+B57)*1.04</f>
        <v>156.95659978731709</v>
      </c>
    </row>
    <row r="63" spans="1:2" ht="75" x14ac:dyDescent="0.25">
      <c r="A63" s="140" t="s">
        <v>304</v>
      </c>
      <c r="B63" s="58"/>
    </row>
    <row r="64" spans="1:2" ht="30" x14ac:dyDescent="0.25">
      <c r="A64" s="58" t="s">
        <v>241</v>
      </c>
      <c r="B64" s="58" t="s">
        <v>0</v>
      </c>
    </row>
    <row r="65" spans="1:2" x14ac:dyDescent="0.25">
      <c r="A65" s="141" t="s">
        <v>303</v>
      </c>
      <c r="B65" s="58">
        <f>(18+12+60+164+124)/1000*64</f>
        <v>24.192</v>
      </c>
    </row>
    <row r="66" spans="1:2" x14ac:dyDescent="0.25">
      <c r="A66" s="141" t="s">
        <v>306</v>
      </c>
      <c r="B66" s="58">
        <f>44*0.308</f>
        <v>13.552</v>
      </c>
    </row>
    <row r="67" spans="1:2" x14ac:dyDescent="0.25">
      <c r="A67" s="58" t="s">
        <v>302</v>
      </c>
      <c r="B67" s="58">
        <f>0.552*52.031</f>
        <v>28.721112000000002</v>
      </c>
    </row>
    <row r="68" spans="1:2" x14ac:dyDescent="0.25">
      <c r="A68" s="141" t="s">
        <v>305</v>
      </c>
      <c r="B68" s="58">
        <f>224/16.4*2.5</f>
        <v>34.146341463414636</v>
      </c>
    </row>
    <row r="69" spans="1:2" x14ac:dyDescent="0.25">
      <c r="A69" s="58" t="s">
        <v>166</v>
      </c>
      <c r="B69" s="58">
        <f>(SUM(B65:B68)*1.04)</f>
        <v>104.63591160195124</v>
      </c>
    </row>
    <row r="72" spans="1:2" ht="30" x14ac:dyDescent="0.25">
      <c r="A72" s="140" t="s">
        <v>307</v>
      </c>
      <c r="B72" s="58"/>
    </row>
    <row r="73" spans="1:2" ht="30" x14ac:dyDescent="0.25">
      <c r="A73" s="58" t="s">
        <v>241</v>
      </c>
      <c r="B73" s="58" t="s">
        <v>0</v>
      </c>
    </row>
    <row r="74" spans="1:2" x14ac:dyDescent="0.25">
      <c r="A74" s="141" t="s">
        <v>303</v>
      </c>
      <c r="B74" s="58">
        <f>(72+5+2)/1000*64</f>
        <v>5.056</v>
      </c>
    </row>
    <row r="75" spans="1:2" x14ac:dyDescent="0.25">
      <c r="A75" s="141" t="s">
        <v>308</v>
      </c>
      <c r="B75" s="58">
        <f>0.276*43.21</f>
        <v>11.925960000000002</v>
      </c>
    </row>
    <row r="76" spans="1:2" x14ac:dyDescent="0.25">
      <c r="A76" s="141" t="s">
        <v>305</v>
      </c>
      <c r="B76" s="58">
        <f>224/16.4*2.5</f>
        <v>34.146341463414636</v>
      </c>
    </row>
    <row r="77" spans="1:2" x14ac:dyDescent="0.25">
      <c r="A77" s="58" t="s">
        <v>166</v>
      </c>
      <c r="B77" s="58">
        <f>(SUM(B74:B76)*1.04)</f>
        <v>53.173433521951225</v>
      </c>
    </row>
  </sheetData>
  <mergeCells count="1">
    <mergeCell ref="B9:D9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167B-ABB0-4E45-A4D5-9B16084F9835}">
  <sheetPr>
    <pageSetUpPr fitToPage="1"/>
  </sheetPr>
  <dimension ref="A1:AD177"/>
  <sheetViews>
    <sheetView zoomScale="85" zoomScaleNormal="85" workbookViewId="0">
      <selection activeCell="D25" sqref="D25"/>
    </sheetView>
  </sheetViews>
  <sheetFormatPr defaultRowHeight="15" x14ac:dyDescent="0.25"/>
  <cols>
    <col min="1" max="1" width="10.140625" customWidth="1"/>
    <col min="2" max="2" width="16.85546875" customWidth="1"/>
    <col min="3" max="3" width="14.140625" customWidth="1"/>
    <col min="4" max="4" width="11.85546875" customWidth="1"/>
    <col min="5" max="5" width="12.42578125" customWidth="1"/>
    <col min="6" max="6" width="9.140625" customWidth="1"/>
    <col min="7" max="7" width="12.5703125" customWidth="1"/>
    <col min="8" max="8" width="16.28515625" customWidth="1"/>
    <col min="9" max="11" width="9.140625" customWidth="1"/>
    <col min="12" max="12" width="14.28515625" customWidth="1"/>
    <col min="13" max="13" width="12.28515625" customWidth="1"/>
    <col min="14" max="14" width="16.5703125" customWidth="1"/>
    <col min="15" max="15" width="18.42578125" customWidth="1"/>
    <col min="16" max="16" width="15.42578125" customWidth="1"/>
    <col min="17" max="17" width="10.28515625" customWidth="1"/>
  </cols>
  <sheetData>
    <row r="1" spans="1:30" ht="15" customHeight="1" x14ac:dyDescent="0.25">
      <c r="A1" s="322" t="s">
        <v>0</v>
      </c>
      <c r="B1" s="322" t="s">
        <v>1</v>
      </c>
      <c r="C1" s="322" t="s">
        <v>2</v>
      </c>
      <c r="D1" s="322" t="s">
        <v>3</v>
      </c>
      <c r="E1" s="322" t="s">
        <v>4</v>
      </c>
      <c r="F1" s="322" t="s">
        <v>5</v>
      </c>
      <c r="G1" s="322" t="s">
        <v>6</v>
      </c>
      <c r="H1" s="322"/>
      <c r="I1" s="322" t="s">
        <v>7</v>
      </c>
      <c r="J1" s="322"/>
      <c r="K1" s="322"/>
      <c r="L1" s="322" t="s">
        <v>8</v>
      </c>
      <c r="M1" s="278" t="s">
        <v>9</v>
      </c>
      <c r="N1" s="278" t="s">
        <v>10</v>
      </c>
      <c r="O1" s="278" t="s">
        <v>10</v>
      </c>
      <c r="P1" s="362" t="s">
        <v>12</v>
      </c>
      <c r="Q1" s="401" t="s">
        <v>218</v>
      </c>
    </row>
    <row r="2" spans="1:30" ht="14.45" customHeight="1" x14ac:dyDescent="0.25">
      <c r="A2" s="322"/>
      <c r="B2" s="322"/>
      <c r="C2" s="322"/>
      <c r="D2" s="322"/>
      <c r="E2" s="322"/>
      <c r="F2" s="322"/>
      <c r="G2" s="322" t="s">
        <v>13</v>
      </c>
      <c r="H2" s="322" t="s">
        <v>14</v>
      </c>
      <c r="I2" s="322" t="s">
        <v>15</v>
      </c>
      <c r="J2" s="322" t="s">
        <v>16</v>
      </c>
      <c r="K2" s="322" t="s">
        <v>17</v>
      </c>
      <c r="L2" s="322"/>
      <c r="M2" s="278"/>
      <c r="N2" s="278"/>
      <c r="O2" s="278"/>
      <c r="P2" s="362"/>
      <c r="Q2" s="402"/>
    </row>
    <row r="3" spans="1:30" ht="14.45" customHeight="1" x14ac:dyDescent="0.25">
      <c r="A3" s="322"/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278"/>
      <c r="N3" s="278"/>
      <c r="O3" s="278"/>
      <c r="P3" s="362"/>
      <c r="Q3" s="402"/>
    </row>
    <row r="4" spans="1:30" ht="15.75" x14ac:dyDescent="0.25">
      <c r="A4" s="2" t="s">
        <v>18</v>
      </c>
      <c r="B4" s="2" t="s">
        <v>19</v>
      </c>
      <c r="C4" s="2"/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24</v>
      </c>
      <c r="J4" s="2" t="s">
        <v>22</v>
      </c>
      <c r="K4" s="2" t="s">
        <v>24</v>
      </c>
      <c r="L4" s="2" t="s">
        <v>25</v>
      </c>
      <c r="M4" s="3" t="s">
        <v>25</v>
      </c>
      <c r="N4" s="3" t="s">
        <v>26</v>
      </c>
      <c r="O4" s="3" t="s">
        <v>27</v>
      </c>
      <c r="P4" s="2" t="s">
        <v>28</v>
      </c>
      <c r="Q4" s="403">
        <f>$P$7/P7*100-100</f>
        <v>0</v>
      </c>
    </row>
    <row r="5" spans="1:30" ht="15.75" x14ac:dyDescent="0.25">
      <c r="A5" s="2">
        <v>1</v>
      </c>
      <c r="B5" s="58" t="s">
        <v>186</v>
      </c>
      <c r="C5" s="4" t="s">
        <v>29</v>
      </c>
      <c r="D5" s="2" t="s">
        <v>30</v>
      </c>
      <c r="E5" s="2">
        <v>1.34</v>
      </c>
      <c r="F5" s="2">
        <v>72</v>
      </c>
      <c r="G5" s="5">
        <f>H5*100/F5</f>
        <v>194.44444444444446</v>
      </c>
      <c r="H5" s="2">
        <v>140</v>
      </c>
      <c r="I5" s="6">
        <f>1/(H5/(10*F5))</f>
        <v>5.1428571428571423</v>
      </c>
      <c r="J5" s="2">
        <v>0</v>
      </c>
      <c r="K5" s="6">
        <f>I5-(I5/100*J5)</f>
        <v>5.1428571428571423</v>
      </c>
      <c r="L5" s="7">
        <v>700</v>
      </c>
      <c r="M5" s="8">
        <f>L5*E5</f>
        <v>938</v>
      </c>
      <c r="N5" s="9">
        <f>A5/K5</f>
        <v>0.19444444444444448</v>
      </c>
      <c r="O5" s="8">
        <f>E5*N5</f>
        <v>0.2605555555555556</v>
      </c>
      <c r="P5" s="10">
        <f>O5*L5</f>
        <v>182.38888888888891</v>
      </c>
      <c r="Q5" s="403"/>
    </row>
    <row r="6" spans="1:30" ht="15.75" x14ac:dyDescent="0.25">
      <c r="A6" s="2">
        <v>1</v>
      </c>
      <c r="B6" s="58" t="s">
        <v>187</v>
      </c>
      <c r="C6" s="4" t="s">
        <v>32</v>
      </c>
      <c r="D6" s="11">
        <v>5005</v>
      </c>
      <c r="E6" s="2">
        <v>1.4</v>
      </c>
      <c r="F6" s="2">
        <v>54</v>
      </c>
      <c r="G6" s="5">
        <f>H6*100/F6</f>
        <v>111.11111111111111</v>
      </c>
      <c r="H6" s="2">
        <v>60</v>
      </c>
      <c r="I6" s="6">
        <f>1/(H6/(10*F6))</f>
        <v>9</v>
      </c>
      <c r="J6" s="2">
        <v>0</v>
      </c>
      <c r="K6" s="6">
        <f>I6-(I6/100*J6)</f>
        <v>9</v>
      </c>
      <c r="L6" s="7">
        <v>700</v>
      </c>
      <c r="M6" s="8">
        <f>L6*E6</f>
        <v>979.99999999999989</v>
      </c>
      <c r="N6" s="9">
        <f>A6/K6</f>
        <v>0.1111111111111111</v>
      </c>
      <c r="O6" s="9">
        <f>E6*N6</f>
        <v>0.15555555555555553</v>
      </c>
      <c r="P6" s="10">
        <f>O6*L6</f>
        <v>108.88888888888887</v>
      </c>
      <c r="Q6" s="403"/>
    </row>
    <row r="7" spans="1:30" ht="15" customHeight="1" x14ac:dyDescent="0.25">
      <c r="A7" s="2"/>
      <c r="B7" s="363" t="s">
        <v>35</v>
      </c>
      <c r="C7" s="363"/>
      <c r="D7" s="363"/>
      <c r="E7" s="363"/>
      <c r="F7" s="363"/>
      <c r="G7" s="363"/>
      <c r="H7" s="2">
        <f>SUM(H5:H6)</f>
        <v>200</v>
      </c>
      <c r="I7" s="399" t="s">
        <v>216</v>
      </c>
      <c r="J7" s="399"/>
      <c r="K7" s="399"/>
      <c r="L7" s="399"/>
      <c r="M7" s="399"/>
      <c r="N7" s="399"/>
      <c r="O7" s="399"/>
      <c r="P7" s="95">
        <f>P5+P6</f>
        <v>291.27777777777777</v>
      </c>
      <c r="Q7" s="403"/>
    </row>
    <row r="8" spans="1:30" x14ac:dyDescent="0.25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</row>
    <row r="9" spans="1:30" ht="15.6" customHeight="1" x14ac:dyDescent="0.25">
      <c r="A9" s="278" t="s">
        <v>0</v>
      </c>
      <c r="B9" s="278" t="s">
        <v>1</v>
      </c>
      <c r="C9" s="278" t="s">
        <v>2</v>
      </c>
      <c r="D9" s="278" t="s">
        <v>3</v>
      </c>
      <c r="E9" s="278" t="s">
        <v>4</v>
      </c>
      <c r="F9" s="278" t="s">
        <v>5</v>
      </c>
      <c r="G9" s="278" t="s">
        <v>6</v>
      </c>
      <c r="H9" s="278"/>
      <c r="I9" s="278"/>
      <c r="J9" s="278"/>
      <c r="K9" s="278"/>
      <c r="L9" s="278" t="s">
        <v>8</v>
      </c>
      <c r="M9" s="278" t="s">
        <v>9</v>
      </c>
      <c r="N9" s="278" t="s">
        <v>10</v>
      </c>
      <c r="O9" s="278" t="s">
        <v>10</v>
      </c>
      <c r="P9" s="362" t="s">
        <v>12</v>
      </c>
      <c r="Q9" s="401" t="s">
        <v>218</v>
      </c>
    </row>
    <row r="10" spans="1:30" x14ac:dyDescent="0.25">
      <c r="A10" s="278"/>
      <c r="B10" s="278"/>
      <c r="C10" s="278"/>
      <c r="D10" s="278"/>
      <c r="E10" s="278"/>
      <c r="F10" s="278"/>
      <c r="G10" s="278" t="s">
        <v>13</v>
      </c>
      <c r="H10" s="278" t="s">
        <v>14</v>
      </c>
      <c r="I10" s="278" t="s">
        <v>15</v>
      </c>
      <c r="J10" s="278" t="s">
        <v>16</v>
      </c>
      <c r="K10" s="278" t="s">
        <v>17</v>
      </c>
      <c r="L10" s="278"/>
      <c r="M10" s="278"/>
      <c r="N10" s="278"/>
      <c r="O10" s="278"/>
      <c r="P10" s="362"/>
      <c r="Q10" s="402"/>
    </row>
    <row r="11" spans="1:30" x14ac:dyDescent="0.25">
      <c r="A11" s="278"/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362"/>
      <c r="Q11" s="402"/>
    </row>
    <row r="12" spans="1:30" ht="15.75" x14ac:dyDescent="0.25">
      <c r="A12" s="3" t="s">
        <v>18</v>
      </c>
      <c r="B12" s="3" t="s">
        <v>19</v>
      </c>
      <c r="C12" s="3"/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23</v>
      </c>
      <c r="I12" s="3" t="s">
        <v>24</v>
      </c>
      <c r="J12" s="3" t="s">
        <v>22</v>
      </c>
      <c r="K12" s="3" t="s">
        <v>24</v>
      </c>
      <c r="L12" s="3" t="s">
        <v>25</v>
      </c>
      <c r="M12" s="3" t="s">
        <v>25</v>
      </c>
      <c r="N12" s="3" t="s">
        <v>26</v>
      </c>
      <c r="O12" s="3" t="s">
        <v>27</v>
      </c>
      <c r="P12" s="2" t="s">
        <v>28</v>
      </c>
      <c r="Q12" s="404">
        <f>$P$7/P15*100-100</f>
        <v>1.9457293938749132</v>
      </c>
    </row>
    <row r="13" spans="1:30" ht="31.5" x14ac:dyDescent="0.25">
      <c r="A13" s="3">
        <v>1</v>
      </c>
      <c r="B13" s="12" t="s">
        <v>42</v>
      </c>
      <c r="C13" s="12" t="s">
        <v>29</v>
      </c>
      <c r="D13" s="3" t="s">
        <v>30</v>
      </c>
      <c r="E13" s="3">
        <v>1.4</v>
      </c>
      <c r="F13" s="3">
        <v>73</v>
      </c>
      <c r="G13" s="16">
        <f>H13*(100)/F13</f>
        <v>164.38356164383561</v>
      </c>
      <c r="H13" s="3">
        <v>120</v>
      </c>
      <c r="I13" s="17">
        <f>1/(H13/(10*F13))</f>
        <v>6.0833333333333339</v>
      </c>
      <c r="J13" s="3">
        <v>30</v>
      </c>
      <c r="K13" s="17">
        <f>I13-(I13/100*J13)</f>
        <v>4.2583333333333337</v>
      </c>
      <c r="L13" s="8">
        <f>500+50</f>
        <v>550</v>
      </c>
      <c r="M13" s="8">
        <f>E13*L13</f>
        <v>770</v>
      </c>
      <c r="N13" s="9">
        <f>A13/K13</f>
        <v>0.23483365949119372</v>
      </c>
      <c r="O13" s="9">
        <f>E13*N13</f>
        <v>0.32876712328767121</v>
      </c>
      <c r="P13" s="10">
        <f>O13*L13</f>
        <v>180.82191780821915</v>
      </c>
      <c r="Q13" s="404"/>
    </row>
    <row r="14" spans="1:30" ht="31.5" x14ac:dyDescent="0.25">
      <c r="A14" s="3">
        <v>1</v>
      </c>
      <c r="B14" s="12" t="s">
        <v>43</v>
      </c>
      <c r="C14" s="12" t="s">
        <v>32</v>
      </c>
      <c r="D14" s="19">
        <v>5005</v>
      </c>
      <c r="E14" s="3">
        <v>1.3</v>
      </c>
      <c r="F14" s="3">
        <v>58</v>
      </c>
      <c r="G14" s="16">
        <f>H14*100/F14</f>
        <v>103.44827586206897</v>
      </c>
      <c r="H14" s="3">
        <v>60</v>
      </c>
      <c r="I14" s="17">
        <f>1/(H14/(10*F14))</f>
        <v>9.6666666666666661</v>
      </c>
      <c r="J14" s="3">
        <v>0</v>
      </c>
      <c r="K14" s="17">
        <f>I14-(I14/100*J14)</f>
        <v>9.6666666666666661</v>
      </c>
      <c r="L14" s="8">
        <v>780</v>
      </c>
      <c r="M14" s="8">
        <f>E14*L14</f>
        <v>1014</v>
      </c>
      <c r="N14" s="9">
        <f>A14/K14</f>
        <v>0.10344827586206898</v>
      </c>
      <c r="O14" s="9">
        <f>E14*N14</f>
        <v>0.13448275862068967</v>
      </c>
      <c r="P14" s="10">
        <f>O14*L14</f>
        <v>104.89655172413795</v>
      </c>
      <c r="Q14" s="404"/>
      <c r="AD14" t="s">
        <v>261</v>
      </c>
    </row>
    <row r="15" spans="1:30" ht="15.75" x14ac:dyDescent="0.25">
      <c r="A15" s="3"/>
      <c r="B15" s="335" t="s">
        <v>35</v>
      </c>
      <c r="C15" s="335"/>
      <c r="D15" s="335"/>
      <c r="E15" s="335"/>
      <c r="F15" s="335"/>
      <c r="G15" s="335"/>
      <c r="H15" s="3">
        <f>SUM(H13:H14)</f>
        <v>180</v>
      </c>
      <c r="I15" s="400" t="s">
        <v>216</v>
      </c>
      <c r="J15" s="400"/>
      <c r="K15" s="400"/>
      <c r="L15" s="400"/>
      <c r="M15" s="400"/>
      <c r="N15" s="400"/>
      <c r="O15" s="400"/>
      <c r="P15" s="94">
        <f>P13+P14</f>
        <v>285.71846953235712</v>
      </c>
      <c r="Q15" s="404"/>
    </row>
    <row r="16" spans="1:30" x14ac:dyDescent="0.25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</row>
    <row r="17" spans="1:17" ht="15" customHeight="1" x14ac:dyDescent="0.25">
      <c r="A17" s="322" t="s">
        <v>0</v>
      </c>
      <c r="B17" s="322" t="s">
        <v>1</v>
      </c>
      <c r="C17" s="322" t="s">
        <v>2</v>
      </c>
      <c r="D17" s="322" t="s">
        <v>3</v>
      </c>
      <c r="E17" s="322" t="s">
        <v>4</v>
      </c>
      <c r="F17" s="322" t="s">
        <v>5</v>
      </c>
      <c r="G17" s="322" t="s">
        <v>6</v>
      </c>
      <c r="H17" s="322"/>
      <c r="I17" s="322" t="s">
        <v>7</v>
      </c>
      <c r="J17" s="322"/>
      <c r="K17" s="322"/>
      <c r="L17" s="322" t="s">
        <v>8</v>
      </c>
      <c r="M17" s="278" t="s">
        <v>9</v>
      </c>
      <c r="N17" s="278" t="s">
        <v>10</v>
      </c>
      <c r="O17" s="278" t="s">
        <v>11</v>
      </c>
      <c r="P17" s="362" t="s">
        <v>12</v>
      </c>
      <c r="Q17" s="401" t="s">
        <v>218</v>
      </c>
    </row>
    <row r="18" spans="1:17" ht="14.45" customHeight="1" x14ac:dyDescent="0.25">
      <c r="A18" s="322"/>
      <c r="B18" s="322"/>
      <c r="C18" s="322"/>
      <c r="D18" s="322"/>
      <c r="E18" s="322"/>
      <c r="F18" s="322"/>
      <c r="G18" s="322" t="s">
        <v>13</v>
      </c>
      <c r="H18" s="322" t="s">
        <v>14</v>
      </c>
      <c r="I18" s="322" t="s">
        <v>15</v>
      </c>
      <c r="J18" s="322" t="s">
        <v>16</v>
      </c>
      <c r="K18" s="322" t="s">
        <v>17</v>
      </c>
      <c r="L18" s="322"/>
      <c r="M18" s="278"/>
      <c r="N18" s="278"/>
      <c r="O18" s="278"/>
      <c r="P18" s="362"/>
      <c r="Q18" s="402"/>
    </row>
    <row r="19" spans="1:17" ht="14.45" customHeight="1" x14ac:dyDescent="0.25">
      <c r="A19" s="322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278"/>
      <c r="N19" s="278"/>
      <c r="O19" s="278"/>
      <c r="P19" s="362"/>
      <c r="Q19" s="402"/>
    </row>
    <row r="20" spans="1:17" ht="15.75" x14ac:dyDescent="0.25">
      <c r="A20" s="2" t="s">
        <v>18</v>
      </c>
      <c r="B20" s="2" t="s">
        <v>19</v>
      </c>
      <c r="C20" s="2"/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23</v>
      </c>
      <c r="I20" s="2" t="s">
        <v>24</v>
      </c>
      <c r="J20" s="2" t="s">
        <v>22</v>
      </c>
      <c r="K20" s="2" t="s">
        <v>24</v>
      </c>
      <c r="L20" s="2" t="s">
        <v>25</v>
      </c>
      <c r="M20" s="3" t="s">
        <v>25</v>
      </c>
      <c r="N20" s="3" t="s">
        <v>26</v>
      </c>
      <c r="O20" s="3" t="s">
        <v>27</v>
      </c>
      <c r="P20" s="2" t="s">
        <v>28</v>
      </c>
      <c r="Q20" s="404">
        <f>$P$7/P23*100-100</f>
        <v>16.098714134263531</v>
      </c>
    </row>
    <row r="21" spans="1:17" ht="31.5" x14ac:dyDescent="0.25">
      <c r="A21" s="2">
        <v>1</v>
      </c>
      <c r="B21" s="4" t="s">
        <v>65</v>
      </c>
      <c r="C21" s="4" t="s">
        <v>29</v>
      </c>
      <c r="D21" s="2" t="s">
        <v>30</v>
      </c>
      <c r="E21" s="2">
        <v>1.6</v>
      </c>
      <c r="F21" s="2">
        <v>74</v>
      </c>
      <c r="G21" s="5">
        <f>H21*100/F21</f>
        <v>162.16216216216216</v>
      </c>
      <c r="H21" s="2">
        <v>120</v>
      </c>
      <c r="I21" s="6">
        <f>1/(H21/(10*F21))</f>
        <v>6.1666666666666661</v>
      </c>
      <c r="J21" s="2">
        <v>0</v>
      </c>
      <c r="K21" s="6">
        <f>I21-(I21/100*J21)</f>
        <v>6.1666666666666661</v>
      </c>
      <c r="L21" s="7">
        <f>M21/E21</f>
        <v>537.5</v>
      </c>
      <c r="M21" s="8">
        <v>860</v>
      </c>
      <c r="N21" s="9">
        <f>A21/K21</f>
        <v>0.16216216216216217</v>
      </c>
      <c r="O21" s="8">
        <f>E21*N21</f>
        <v>0.25945945945945947</v>
      </c>
      <c r="P21" s="10">
        <f>O21*L21</f>
        <v>139.45945945945948</v>
      </c>
      <c r="Q21" s="404"/>
    </row>
    <row r="22" spans="1:17" ht="31.5" x14ac:dyDescent="0.25">
      <c r="A22" s="2">
        <v>1</v>
      </c>
      <c r="B22" s="4" t="s">
        <v>31</v>
      </c>
      <c r="C22" s="4" t="s">
        <v>32</v>
      </c>
      <c r="D22" s="11">
        <v>5005</v>
      </c>
      <c r="E22" s="2">
        <v>1.4</v>
      </c>
      <c r="F22" s="2">
        <v>63</v>
      </c>
      <c r="G22" s="5">
        <f>H22*100/F22</f>
        <v>95.238095238095241</v>
      </c>
      <c r="H22" s="2">
        <v>60</v>
      </c>
      <c r="I22" s="6">
        <f>1/(H22/(10*F22))</f>
        <v>10.5</v>
      </c>
      <c r="J22" s="2">
        <v>0</v>
      </c>
      <c r="K22" s="6">
        <f>I22-(I22/100*J22)</f>
        <v>10.5</v>
      </c>
      <c r="L22" s="7">
        <f>M22/E22</f>
        <v>835.71428571428578</v>
      </c>
      <c r="M22" s="8">
        <v>1170</v>
      </c>
      <c r="N22" s="9">
        <f>A22/K22</f>
        <v>9.5238095238095233E-2</v>
      </c>
      <c r="O22" s="9">
        <f>E22*N22</f>
        <v>0.1333333333333333</v>
      </c>
      <c r="P22" s="10">
        <f>O22*L22</f>
        <v>111.42857142857142</v>
      </c>
      <c r="Q22" s="404"/>
    </row>
    <row r="23" spans="1:17" ht="14.45" customHeight="1" x14ac:dyDescent="0.25">
      <c r="A23" s="2"/>
      <c r="B23" s="363" t="s">
        <v>35</v>
      </c>
      <c r="C23" s="363"/>
      <c r="D23" s="363"/>
      <c r="E23" s="363"/>
      <c r="F23" s="363"/>
      <c r="G23" s="363"/>
      <c r="H23" s="2">
        <f>SUM(H21:H22)</f>
        <v>180</v>
      </c>
      <c r="I23" s="400" t="s">
        <v>216</v>
      </c>
      <c r="J23" s="400"/>
      <c r="K23" s="400"/>
      <c r="L23" s="400"/>
      <c r="M23" s="400"/>
      <c r="N23" s="400"/>
      <c r="O23" s="400"/>
      <c r="P23" s="94">
        <f>P21+P22</f>
        <v>250.8880308880309</v>
      </c>
      <c r="Q23" s="404"/>
    </row>
    <row r="24" spans="1:17" ht="15.75" x14ac:dyDescent="0.2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</row>
    <row r="25" spans="1:17" ht="185.25" customHeight="1" x14ac:dyDescent="0.25"/>
    <row r="27" spans="1:17" ht="15.75" customHeight="1" x14ac:dyDescent="0.25">
      <c r="A27" s="326" t="s">
        <v>0</v>
      </c>
      <c r="B27" s="326" t="s">
        <v>1</v>
      </c>
      <c r="C27" s="326" t="s">
        <v>2</v>
      </c>
      <c r="D27" s="326" t="s">
        <v>3</v>
      </c>
      <c r="E27" s="326" t="s">
        <v>4</v>
      </c>
      <c r="F27" s="326" t="s">
        <v>5</v>
      </c>
      <c r="G27" s="329" t="s">
        <v>6</v>
      </c>
      <c r="H27" s="330"/>
      <c r="I27" s="329" t="s">
        <v>7</v>
      </c>
      <c r="J27" s="331"/>
      <c r="K27" s="330"/>
      <c r="L27" s="326" t="s">
        <v>8</v>
      </c>
      <c r="M27" s="332" t="s">
        <v>9</v>
      </c>
      <c r="N27" s="332" t="s">
        <v>10</v>
      </c>
      <c r="O27" s="332" t="s">
        <v>10</v>
      </c>
      <c r="P27" s="319" t="s">
        <v>12</v>
      </c>
      <c r="Q27" s="401" t="s">
        <v>218</v>
      </c>
    </row>
    <row r="28" spans="1:17" ht="15" customHeight="1" x14ac:dyDescent="0.25">
      <c r="A28" s="327"/>
      <c r="B28" s="327"/>
      <c r="C28" s="327"/>
      <c r="D28" s="327"/>
      <c r="E28" s="327"/>
      <c r="F28" s="327"/>
      <c r="G28" s="326" t="s">
        <v>13</v>
      </c>
      <c r="H28" s="326" t="s">
        <v>14</v>
      </c>
      <c r="I28" s="326" t="s">
        <v>15</v>
      </c>
      <c r="J28" s="326" t="s">
        <v>16</v>
      </c>
      <c r="K28" s="326" t="s">
        <v>17</v>
      </c>
      <c r="L28" s="327"/>
      <c r="M28" s="333"/>
      <c r="N28" s="333"/>
      <c r="O28" s="333"/>
      <c r="P28" s="320"/>
      <c r="Q28" s="402"/>
    </row>
    <row r="29" spans="1:17" ht="15" customHeight="1" x14ac:dyDescent="0.25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34"/>
      <c r="N29" s="334"/>
      <c r="O29" s="334"/>
      <c r="P29" s="321"/>
      <c r="Q29" s="402"/>
    </row>
    <row r="30" spans="1:17" ht="15.75" x14ac:dyDescent="0.25">
      <c r="A30" s="167" t="s">
        <v>18</v>
      </c>
      <c r="B30" s="167" t="s">
        <v>19</v>
      </c>
      <c r="C30" s="167"/>
      <c r="D30" s="167" t="s">
        <v>20</v>
      </c>
      <c r="E30" s="167" t="s">
        <v>21</v>
      </c>
      <c r="F30" s="167" t="s">
        <v>22</v>
      </c>
      <c r="G30" s="167" t="s">
        <v>23</v>
      </c>
      <c r="H30" s="167" t="s">
        <v>23</v>
      </c>
      <c r="I30" s="167" t="s">
        <v>24</v>
      </c>
      <c r="J30" s="167" t="s">
        <v>22</v>
      </c>
      <c r="K30" s="167" t="s">
        <v>24</v>
      </c>
      <c r="L30" s="167" t="s">
        <v>25</v>
      </c>
      <c r="M30" s="166" t="s">
        <v>25</v>
      </c>
      <c r="N30" s="166" t="s">
        <v>26</v>
      </c>
      <c r="O30" s="166" t="s">
        <v>27</v>
      </c>
      <c r="P30" s="167" t="s">
        <v>28</v>
      </c>
      <c r="Q30" s="403">
        <f>$P$33/P33*100-100</f>
        <v>0</v>
      </c>
    </row>
    <row r="31" spans="1:17" ht="15.75" customHeight="1" x14ac:dyDescent="0.25">
      <c r="A31" s="167">
        <v>1</v>
      </c>
      <c r="B31" s="168" t="s">
        <v>186</v>
      </c>
      <c r="C31" s="4" t="s">
        <v>29</v>
      </c>
      <c r="D31" s="167" t="s">
        <v>30</v>
      </c>
      <c r="E31" s="167">
        <v>1.34</v>
      </c>
      <c r="F31" s="167">
        <v>72</v>
      </c>
      <c r="G31" s="5">
        <f>H31*100/F31</f>
        <v>166.66666666666666</v>
      </c>
      <c r="H31" s="167">
        <v>120</v>
      </c>
      <c r="I31" s="6">
        <f>1/(H31/(10*F31))</f>
        <v>6</v>
      </c>
      <c r="J31" s="167">
        <v>0</v>
      </c>
      <c r="K31" s="6">
        <f>I31-(I31/100*J31)</f>
        <v>6</v>
      </c>
      <c r="L31" s="7">
        <v>628</v>
      </c>
      <c r="M31" s="8">
        <f>L31*E31</f>
        <v>841.5200000000001</v>
      </c>
      <c r="N31" s="9">
        <f>A31/K31</f>
        <v>0.16666666666666666</v>
      </c>
      <c r="O31" s="8">
        <f>E31*N31</f>
        <v>0.22333333333333333</v>
      </c>
      <c r="P31" s="10">
        <f>O31*L31</f>
        <v>140.25333333333333</v>
      </c>
      <c r="Q31" s="403"/>
    </row>
    <row r="32" spans="1:17" ht="15.75" x14ac:dyDescent="0.25">
      <c r="A32" s="2">
        <v>1</v>
      </c>
      <c r="B32" s="58" t="s">
        <v>187</v>
      </c>
      <c r="C32" s="4" t="s">
        <v>32</v>
      </c>
      <c r="D32" s="11">
        <v>9003</v>
      </c>
      <c r="E32" s="2">
        <v>1.35</v>
      </c>
      <c r="F32" s="2">
        <v>54</v>
      </c>
      <c r="G32" s="5">
        <f>H32*100/F32</f>
        <v>111.11111111111111</v>
      </c>
      <c r="H32" s="2">
        <v>60</v>
      </c>
      <c r="I32" s="6">
        <f>1/(H32/(10*F32))</f>
        <v>9</v>
      </c>
      <c r="J32" s="2">
        <v>40</v>
      </c>
      <c r="K32" s="6">
        <f>I32-(I32/100*J32)</f>
        <v>5.4</v>
      </c>
      <c r="L32" s="7">
        <v>805</v>
      </c>
      <c r="M32" s="8">
        <f>L32*E32</f>
        <v>1086.75</v>
      </c>
      <c r="N32" s="9">
        <f>A32/K32</f>
        <v>0.18518518518518517</v>
      </c>
      <c r="O32" s="9">
        <f>E32*N32</f>
        <v>0.25</v>
      </c>
      <c r="P32" s="10">
        <f>O32*L32</f>
        <v>201.25</v>
      </c>
      <c r="Q32" s="403"/>
    </row>
    <row r="33" spans="1:17" ht="15" customHeight="1" x14ac:dyDescent="0.25">
      <c r="A33" s="2"/>
      <c r="B33" s="363" t="s">
        <v>35</v>
      </c>
      <c r="C33" s="363"/>
      <c r="D33" s="363"/>
      <c r="E33" s="363"/>
      <c r="F33" s="363"/>
      <c r="G33" s="363"/>
      <c r="H33" s="2">
        <f>SUM(H31:H32)</f>
        <v>180</v>
      </c>
      <c r="I33" s="399" t="s">
        <v>216</v>
      </c>
      <c r="J33" s="399"/>
      <c r="K33" s="399"/>
      <c r="L33" s="399"/>
      <c r="M33" s="399"/>
      <c r="N33" s="399"/>
      <c r="O33" s="399"/>
      <c r="P33" s="95">
        <f>P31+P32</f>
        <v>341.50333333333333</v>
      </c>
      <c r="Q33" s="403"/>
    </row>
    <row r="34" spans="1:17" x14ac:dyDescent="0.25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</row>
    <row r="35" spans="1:17" ht="15.6" customHeight="1" x14ac:dyDescent="0.25">
      <c r="A35" s="278" t="s">
        <v>0</v>
      </c>
      <c r="B35" s="278" t="s">
        <v>1</v>
      </c>
      <c r="C35" s="278" t="s">
        <v>2</v>
      </c>
      <c r="D35" s="278" t="s">
        <v>3</v>
      </c>
      <c r="E35" s="278" t="s">
        <v>4</v>
      </c>
      <c r="F35" s="278" t="s">
        <v>5</v>
      </c>
      <c r="G35" s="278" t="s">
        <v>6</v>
      </c>
      <c r="H35" s="278"/>
      <c r="I35" s="278"/>
      <c r="J35" s="278"/>
      <c r="K35" s="278"/>
      <c r="L35" s="278" t="s">
        <v>8</v>
      </c>
      <c r="M35" s="278" t="s">
        <v>9</v>
      </c>
      <c r="N35" s="278" t="s">
        <v>10</v>
      </c>
      <c r="O35" s="278" t="s">
        <v>10</v>
      </c>
      <c r="P35" s="362" t="s">
        <v>12</v>
      </c>
      <c r="Q35" s="401" t="s">
        <v>218</v>
      </c>
    </row>
    <row r="36" spans="1:17" x14ac:dyDescent="0.25">
      <c r="A36" s="278"/>
      <c r="B36" s="278"/>
      <c r="C36" s="278"/>
      <c r="D36" s="278"/>
      <c r="E36" s="278"/>
      <c r="F36" s="278"/>
      <c r="G36" s="278" t="s">
        <v>13</v>
      </c>
      <c r="H36" s="278" t="s">
        <v>14</v>
      </c>
      <c r="I36" s="278" t="s">
        <v>15</v>
      </c>
      <c r="J36" s="278" t="s">
        <v>16</v>
      </c>
      <c r="K36" s="278" t="s">
        <v>17</v>
      </c>
      <c r="L36" s="278"/>
      <c r="M36" s="278"/>
      <c r="N36" s="278"/>
      <c r="O36" s="278"/>
      <c r="P36" s="362"/>
      <c r="Q36" s="402"/>
    </row>
    <row r="37" spans="1:17" x14ac:dyDescent="0.25">
      <c r="A37" s="278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362"/>
      <c r="Q37" s="402"/>
    </row>
    <row r="38" spans="1:17" ht="15.75" x14ac:dyDescent="0.25">
      <c r="A38" s="3" t="s">
        <v>18</v>
      </c>
      <c r="B38" s="3" t="s">
        <v>19</v>
      </c>
      <c r="C38" s="3"/>
      <c r="D38" s="3" t="s">
        <v>20</v>
      </c>
      <c r="E38" s="3" t="s">
        <v>21</v>
      </c>
      <c r="F38" s="3" t="s">
        <v>22</v>
      </c>
      <c r="G38" s="3" t="s">
        <v>23</v>
      </c>
      <c r="H38" s="3" t="s">
        <v>23</v>
      </c>
      <c r="I38" s="3" t="s">
        <v>24</v>
      </c>
      <c r="J38" s="3" t="s">
        <v>22</v>
      </c>
      <c r="K38" s="3" t="s">
        <v>24</v>
      </c>
      <c r="L38" s="3" t="s">
        <v>25</v>
      </c>
      <c r="M38" s="3" t="s">
        <v>25</v>
      </c>
      <c r="N38" s="3" t="s">
        <v>26</v>
      </c>
      <c r="O38" s="3" t="s">
        <v>27</v>
      </c>
      <c r="P38" s="2" t="s">
        <v>28</v>
      </c>
      <c r="Q38" s="403">
        <f>$P$33/P41*100-100</f>
        <v>13.304583614128035</v>
      </c>
    </row>
    <row r="39" spans="1:17" ht="31.5" x14ac:dyDescent="0.25">
      <c r="A39" s="3">
        <v>1</v>
      </c>
      <c r="B39" s="12" t="s">
        <v>42</v>
      </c>
      <c r="C39" s="12" t="s">
        <v>29</v>
      </c>
      <c r="D39" s="3" t="s">
        <v>30</v>
      </c>
      <c r="E39" s="3">
        <v>1.4</v>
      </c>
      <c r="F39" s="3">
        <v>73</v>
      </c>
      <c r="G39" s="16">
        <f>H39*(100)/F39</f>
        <v>164.38356164383561</v>
      </c>
      <c r="H39" s="3">
        <v>120</v>
      </c>
      <c r="I39" s="17">
        <f>1/(H39/(10*F39))</f>
        <v>6.0833333333333339</v>
      </c>
      <c r="J39" s="3">
        <v>0</v>
      </c>
      <c r="K39" s="17">
        <f>I39-(I39/100*J39)</f>
        <v>6.0833333333333339</v>
      </c>
      <c r="L39" s="8">
        <v>550</v>
      </c>
      <c r="M39" s="8">
        <f>E39*L39</f>
        <v>770</v>
      </c>
      <c r="N39" s="9">
        <f>A39/K39</f>
        <v>0.16438356164383561</v>
      </c>
      <c r="O39" s="9">
        <f>E39*N39</f>
        <v>0.23013698630136983</v>
      </c>
      <c r="P39" s="10">
        <f>O39*L39</f>
        <v>126.57534246575341</v>
      </c>
      <c r="Q39" s="403"/>
    </row>
    <row r="40" spans="1:17" ht="31.5" x14ac:dyDescent="0.25">
      <c r="A40" s="3">
        <v>1</v>
      </c>
      <c r="B40" s="12" t="s">
        <v>43</v>
      </c>
      <c r="C40" s="12" t="s">
        <v>32</v>
      </c>
      <c r="D40" s="19">
        <v>9003</v>
      </c>
      <c r="E40" s="3">
        <v>1.3</v>
      </c>
      <c r="F40" s="3">
        <v>58</v>
      </c>
      <c r="G40" s="16">
        <f>H40*100/F40</f>
        <v>103.44827586206897</v>
      </c>
      <c r="H40" s="3">
        <v>60</v>
      </c>
      <c r="I40" s="17">
        <f>1/(H40/(10*F40))</f>
        <v>9.6666666666666661</v>
      </c>
      <c r="J40" s="3">
        <v>40</v>
      </c>
      <c r="K40" s="17">
        <f>I40-(I40/100*J40)</f>
        <v>5.7999999999999989</v>
      </c>
      <c r="L40" s="8">
        <v>780</v>
      </c>
      <c r="M40" s="8">
        <f>E40*L40</f>
        <v>1014</v>
      </c>
      <c r="N40" s="9">
        <f>A40/K40</f>
        <v>0.17241379310344832</v>
      </c>
      <c r="O40" s="9">
        <f>E40*N40</f>
        <v>0.22413793103448282</v>
      </c>
      <c r="P40" s="10">
        <f>O40*L40</f>
        <v>174.8275862068966</v>
      </c>
      <c r="Q40" s="403"/>
    </row>
    <row r="41" spans="1:17" ht="15.75" x14ac:dyDescent="0.25">
      <c r="A41" s="3"/>
      <c r="B41" s="335" t="s">
        <v>35</v>
      </c>
      <c r="C41" s="335"/>
      <c r="D41" s="335"/>
      <c r="E41" s="335"/>
      <c r="F41" s="335"/>
      <c r="G41" s="335"/>
      <c r="H41" s="3">
        <f>SUM(H39:H40)</f>
        <v>180</v>
      </c>
      <c r="I41" s="400" t="s">
        <v>216</v>
      </c>
      <c r="J41" s="400"/>
      <c r="K41" s="400"/>
      <c r="L41" s="400"/>
      <c r="M41" s="400"/>
      <c r="N41" s="400"/>
      <c r="O41" s="400"/>
      <c r="P41" s="94">
        <f>P39+P40</f>
        <v>301.40292867264998</v>
      </c>
      <c r="Q41" s="403"/>
    </row>
    <row r="42" spans="1:17" x14ac:dyDescent="0.25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</row>
    <row r="43" spans="1:17" ht="15" customHeight="1" x14ac:dyDescent="0.25">
      <c r="A43" s="322" t="s">
        <v>0</v>
      </c>
      <c r="B43" s="322" t="s">
        <v>1</v>
      </c>
      <c r="C43" s="322" t="s">
        <v>2</v>
      </c>
      <c r="D43" s="322" t="s">
        <v>3</v>
      </c>
      <c r="E43" s="322" t="s">
        <v>4</v>
      </c>
      <c r="F43" s="322" t="s">
        <v>5</v>
      </c>
      <c r="G43" s="322" t="s">
        <v>6</v>
      </c>
      <c r="H43" s="322"/>
      <c r="I43" s="322" t="s">
        <v>7</v>
      </c>
      <c r="J43" s="322"/>
      <c r="K43" s="322"/>
      <c r="L43" s="322" t="s">
        <v>8</v>
      </c>
      <c r="M43" s="278" t="s">
        <v>9</v>
      </c>
      <c r="N43" s="278" t="s">
        <v>10</v>
      </c>
      <c r="O43" s="278" t="s">
        <v>11</v>
      </c>
      <c r="P43" s="362" t="s">
        <v>12</v>
      </c>
      <c r="Q43" s="401" t="s">
        <v>218</v>
      </c>
    </row>
    <row r="44" spans="1:17" ht="14.45" customHeight="1" x14ac:dyDescent="0.25">
      <c r="A44" s="322"/>
      <c r="B44" s="322"/>
      <c r="C44" s="322"/>
      <c r="D44" s="322"/>
      <c r="E44" s="322"/>
      <c r="F44" s="322"/>
      <c r="G44" s="322" t="s">
        <v>13</v>
      </c>
      <c r="H44" s="322" t="s">
        <v>14</v>
      </c>
      <c r="I44" s="322" t="s">
        <v>15</v>
      </c>
      <c r="J44" s="322" t="s">
        <v>16</v>
      </c>
      <c r="K44" s="322" t="s">
        <v>17</v>
      </c>
      <c r="L44" s="322"/>
      <c r="M44" s="278"/>
      <c r="N44" s="278"/>
      <c r="O44" s="278"/>
      <c r="P44" s="362"/>
      <c r="Q44" s="402"/>
    </row>
    <row r="45" spans="1:17" ht="14.45" customHeight="1" x14ac:dyDescent="0.25">
      <c r="A45" s="322"/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278"/>
      <c r="N45" s="278"/>
      <c r="O45" s="278"/>
      <c r="P45" s="362"/>
      <c r="Q45" s="402"/>
    </row>
    <row r="46" spans="1:17" ht="15.75" x14ac:dyDescent="0.25">
      <c r="A46" s="2" t="s">
        <v>18</v>
      </c>
      <c r="B46" s="2" t="s">
        <v>19</v>
      </c>
      <c r="C46" s="2"/>
      <c r="D46" s="2" t="s">
        <v>20</v>
      </c>
      <c r="E46" s="2" t="s">
        <v>21</v>
      </c>
      <c r="F46" s="2" t="s">
        <v>22</v>
      </c>
      <c r="G46" s="2" t="s">
        <v>23</v>
      </c>
      <c r="H46" s="2" t="s">
        <v>23</v>
      </c>
      <c r="I46" s="2" t="s">
        <v>24</v>
      </c>
      <c r="J46" s="2" t="s">
        <v>22</v>
      </c>
      <c r="K46" s="2" t="s">
        <v>24</v>
      </c>
      <c r="L46" s="2" t="s">
        <v>25</v>
      </c>
      <c r="M46" s="3" t="s">
        <v>25</v>
      </c>
      <c r="N46" s="3" t="s">
        <v>26</v>
      </c>
      <c r="O46" s="3" t="s">
        <v>27</v>
      </c>
      <c r="P46" s="2" t="s">
        <v>28</v>
      </c>
      <c r="Q46" s="403">
        <f>$P$33/P49*100-100</f>
        <v>30.187464429398489</v>
      </c>
    </row>
    <row r="47" spans="1:17" ht="31.5" x14ac:dyDescent="0.25">
      <c r="A47" s="2">
        <v>1</v>
      </c>
      <c r="B47" s="4" t="s">
        <v>65</v>
      </c>
      <c r="C47" s="4" t="s">
        <v>29</v>
      </c>
      <c r="D47" s="2" t="s">
        <v>30</v>
      </c>
      <c r="E47" s="2">
        <v>1.6</v>
      </c>
      <c r="F47" s="2">
        <v>74</v>
      </c>
      <c r="G47" s="5">
        <f>H47*100/F47</f>
        <v>162.16216216216216</v>
      </c>
      <c r="H47" s="2">
        <v>120</v>
      </c>
      <c r="I47" s="6">
        <f>1/(H47/(10*F47))</f>
        <v>6.1666666666666661</v>
      </c>
      <c r="J47" s="2">
        <v>0</v>
      </c>
      <c r="K47" s="6">
        <f>I47-(I47/100*J47)</f>
        <v>6.1666666666666661</v>
      </c>
      <c r="L47" s="7">
        <f>M47/E47</f>
        <v>537.5</v>
      </c>
      <c r="M47" s="8">
        <v>860</v>
      </c>
      <c r="N47" s="9">
        <f>A47/K47</f>
        <v>0.16216216216216217</v>
      </c>
      <c r="O47" s="8">
        <f>E47*N47</f>
        <v>0.25945945945945947</v>
      </c>
      <c r="P47" s="10">
        <f>O47*L47</f>
        <v>139.45945945945948</v>
      </c>
      <c r="Q47" s="403"/>
    </row>
    <row r="48" spans="1:17" ht="31.5" x14ac:dyDescent="0.25">
      <c r="A48" s="2">
        <v>1</v>
      </c>
      <c r="B48" s="4" t="s">
        <v>31</v>
      </c>
      <c r="C48" s="4" t="s">
        <v>32</v>
      </c>
      <c r="D48" s="11">
        <v>9003</v>
      </c>
      <c r="E48" s="2">
        <v>1.4</v>
      </c>
      <c r="F48" s="2">
        <v>63</v>
      </c>
      <c r="G48" s="5">
        <f>H48*100/F48</f>
        <v>95.238095238095241</v>
      </c>
      <c r="H48" s="2">
        <v>60</v>
      </c>
      <c r="I48" s="6">
        <f>1/(H48/(10*F48))</f>
        <v>10.5</v>
      </c>
      <c r="J48" s="2">
        <v>0</v>
      </c>
      <c r="K48" s="6">
        <f>I48-(I48/100*J48)</f>
        <v>10.5</v>
      </c>
      <c r="L48" s="7">
        <f>M48/E48</f>
        <v>921.42857142857144</v>
      </c>
      <c r="M48" s="8">
        <v>1290</v>
      </c>
      <c r="N48" s="9">
        <f>A48/K48</f>
        <v>9.5238095238095233E-2</v>
      </c>
      <c r="O48" s="9">
        <f>E48*N48</f>
        <v>0.1333333333333333</v>
      </c>
      <c r="P48" s="10">
        <f>O48*L48</f>
        <v>122.85714285714283</v>
      </c>
      <c r="Q48" s="403"/>
    </row>
    <row r="49" spans="1:17" ht="14.45" customHeight="1" x14ac:dyDescent="0.25">
      <c r="A49" s="2"/>
      <c r="B49" s="363" t="s">
        <v>35</v>
      </c>
      <c r="C49" s="363"/>
      <c r="D49" s="363"/>
      <c r="E49" s="363"/>
      <c r="F49" s="363"/>
      <c r="G49" s="363"/>
      <c r="H49" s="2">
        <f>SUM(H47:H48)</f>
        <v>180</v>
      </c>
      <c r="I49" s="400" t="s">
        <v>216</v>
      </c>
      <c r="J49" s="400"/>
      <c r="K49" s="400"/>
      <c r="L49" s="400"/>
      <c r="M49" s="400"/>
      <c r="N49" s="400"/>
      <c r="O49" s="400"/>
      <c r="P49" s="94">
        <f>P47+P48</f>
        <v>262.31660231660231</v>
      </c>
      <c r="Q49" s="403"/>
    </row>
    <row r="50" spans="1:17" ht="15" customHeight="1" x14ac:dyDescent="0.25"/>
    <row r="53" spans="1:17" ht="15.75" x14ac:dyDescent="0.25">
      <c r="A53" s="322" t="s">
        <v>0</v>
      </c>
      <c r="B53" s="322" t="s">
        <v>1</v>
      </c>
      <c r="C53" s="322" t="s">
        <v>2</v>
      </c>
      <c r="D53" s="322" t="s">
        <v>3</v>
      </c>
      <c r="E53" s="322" t="s">
        <v>4</v>
      </c>
      <c r="F53" s="322" t="s">
        <v>5</v>
      </c>
      <c r="G53" s="322" t="s">
        <v>6</v>
      </c>
      <c r="H53" s="322"/>
      <c r="I53" s="322" t="s">
        <v>7</v>
      </c>
      <c r="J53" s="322"/>
      <c r="K53" s="322"/>
      <c r="L53" s="322" t="s">
        <v>8</v>
      </c>
      <c r="M53" s="278" t="s">
        <v>9</v>
      </c>
      <c r="N53" s="278" t="s">
        <v>10</v>
      </c>
      <c r="O53" s="278" t="s">
        <v>10</v>
      </c>
      <c r="P53" s="362" t="s">
        <v>12</v>
      </c>
      <c r="Q53" s="401" t="s">
        <v>218</v>
      </c>
    </row>
    <row r="54" spans="1:17" x14ac:dyDescent="0.25">
      <c r="A54" s="322"/>
      <c r="B54" s="322"/>
      <c r="C54" s="322"/>
      <c r="D54" s="322"/>
      <c r="E54" s="322"/>
      <c r="F54" s="322"/>
      <c r="G54" s="322" t="s">
        <v>13</v>
      </c>
      <c r="H54" s="322" t="s">
        <v>14</v>
      </c>
      <c r="I54" s="322" t="s">
        <v>15</v>
      </c>
      <c r="J54" s="322" t="s">
        <v>16</v>
      </c>
      <c r="K54" s="322" t="s">
        <v>17</v>
      </c>
      <c r="L54" s="322"/>
      <c r="M54" s="278"/>
      <c r="N54" s="278"/>
      <c r="O54" s="278"/>
      <c r="P54" s="362"/>
      <c r="Q54" s="402"/>
    </row>
    <row r="55" spans="1:17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278"/>
      <c r="N55" s="278"/>
      <c r="O55" s="278"/>
      <c r="P55" s="362"/>
      <c r="Q55" s="402"/>
    </row>
    <row r="56" spans="1:17" ht="15.75" x14ac:dyDescent="0.25">
      <c r="A56" s="2" t="s">
        <v>18</v>
      </c>
      <c r="B56" s="2" t="s">
        <v>19</v>
      </c>
      <c r="C56" s="2"/>
      <c r="D56" s="2" t="s">
        <v>20</v>
      </c>
      <c r="E56" s="2" t="s">
        <v>21</v>
      </c>
      <c r="F56" s="2" t="s">
        <v>22</v>
      </c>
      <c r="G56" s="2" t="s">
        <v>23</v>
      </c>
      <c r="H56" s="2" t="s">
        <v>23</v>
      </c>
      <c r="I56" s="2" t="s">
        <v>24</v>
      </c>
      <c r="J56" s="2" t="s">
        <v>22</v>
      </c>
      <c r="K56" s="2" t="s">
        <v>24</v>
      </c>
      <c r="L56" s="2" t="s">
        <v>25</v>
      </c>
      <c r="M56" s="3" t="s">
        <v>25</v>
      </c>
      <c r="N56" s="3" t="s">
        <v>26</v>
      </c>
      <c r="O56" s="3" t="s">
        <v>27</v>
      </c>
      <c r="P56" s="2" t="s">
        <v>28</v>
      </c>
      <c r="Q56" s="403">
        <f>$P$59/P59*100-100</f>
        <v>0</v>
      </c>
    </row>
    <row r="57" spans="1:17" ht="15.75" x14ac:dyDescent="0.25">
      <c r="A57" s="2">
        <v>1</v>
      </c>
      <c r="B57" s="58" t="s">
        <v>186</v>
      </c>
      <c r="C57" s="4" t="s">
        <v>29</v>
      </c>
      <c r="D57" s="2" t="s">
        <v>30</v>
      </c>
      <c r="E57" s="2">
        <v>1.34</v>
      </c>
      <c r="F57" s="2">
        <v>72</v>
      </c>
      <c r="G57" s="5">
        <f>H57*100/F57</f>
        <v>166.66666666666666</v>
      </c>
      <c r="H57" s="2">
        <v>120</v>
      </c>
      <c r="I57" s="6">
        <f>1/(H57/(10*F57))</f>
        <v>6</v>
      </c>
      <c r="J57" s="2">
        <v>0</v>
      </c>
      <c r="K57" s="6">
        <f>I57-(I57/100*J57)</f>
        <v>6</v>
      </c>
      <c r="L57" s="7">
        <v>628</v>
      </c>
      <c r="M57" s="8">
        <f>L57*E57</f>
        <v>841.5200000000001</v>
      </c>
      <c r="N57" s="9">
        <f>A57/K57</f>
        <v>0.16666666666666666</v>
      </c>
      <c r="O57" s="8">
        <f>E57*N57</f>
        <v>0.22333333333333333</v>
      </c>
      <c r="P57" s="10">
        <f>O57*L57</f>
        <v>140.25333333333333</v>
      </c>
      <c r="Q57" s="403"/>
    </row>
    <row r="58" spans="1:17" ht="15.75" x14ac:dyDescent="0.25">
      <c r="A58" s="2">
        <v>1</v>
      </c>
      <c r="B58" s="58" t="s">
        <v>187</v>
      </c>
      <c r="C58" s="4" t="s">
        <v>32</v>
      </c>
      <c r="D58" s="11">
        <v>7036</v>
      </c>
      <c r="E58" s="2">
        <v>1.4</v>
      </c>
      <c r="F58" s="2">
        <v>54</v>
      </c>
      <c r="G58" s="5">
        <f>H58*100/F58</f>
        <v>111.11111111111111</v>
      </c>
      <c r="H58" s="2">
        <v>60</v>
      </c>
      <c r="I58" s="6">
        <f>1/(H58/(10*F58))</f>
        <v>9</v>
      </c>
      <c r="J58" s="2">
        <v>0</v>
      </c>
      <c r="K58" s="6">
        <f>I58-(I58/100*J58)</f>
        <v>9</v>
      </c>
      <c r="L58" s="7">
        <v>802</v>
      </c>
      <c r="M58" s="8">
        <f>L58*E58</f>
        <v>1122.8</v>
      </c>
      <c r="N58" s="9">
        <f>A58/K58</f>
        <v>0.1111111111111111</v>
      </c>
      <c r="O58" s="9">
        <f>E58*N58</f>
        <v>0.15555555555555553</v>
      </c>
      <c r="P58" s="10">
        <f>O58*L58</f>
        <v>124.75555555555553</v>
      </c>
      <c r="Q58" s="403"/>
    </row>
    <row r="59" spans="1:17" ht="15" customHeight="1" x14ac:dyDescent="0.25">
      <c r="A59" s="2"/>
      <c r="B59" s="363" t="s">
        <v>35</v>
      </c>
      <c r="C59" s="363"/>
      <c r="D59" s="363"/>
      <c r="E59" s="363"/>
      <c r="F59" s="363"/>
      <c r="G59" s="363"/>
      <c r="H59" s="2">
        <f>SUM(H57:H58)</f>
        <v>180</v>
      </c>
      <c r="I59" s="399" t="s">
        <v>216</v>
      </c>
      <c r="J59" s="399"/>
      <c r="K59" s="399"/>
      <c r="L59" s="399"/>
      <c r="M59" s="399"/>
      <c r="N59" s="399"/>
      <c r="O59" s="399"/>
      <c r="P59" s="95">
        <f>P57+P58</f>
        <v>265.00888888888886</v>
      </c>
      <c r="Q59" s="403"/>
    </row>
    <row r="60" spans="1:17" x14ac:dyDescent="0.25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</row>
    <row r="61" spans="1:17" ht="15.75" x14ac:dyDescent="0.25">
      <c r="A61" s="278" t="s">
        <v>0</v>
      </c>
      <c r="B61" s="278" t="s">
        <v>1</v>
      </c>
      <c r="C61" s="278" t="s">
        <v>2</v>
      </c>
      <c r="D61" s="278" t="s">
        <v>3</v>
      </c>
      <c r="E61" s="278" t="s">
        <v>4</v>
      </c>
      <c r="F61" s="278" t="s">
        <v>5</v>
      </c>
      <c r="G61" s="278" t="s">
        <v>6</v>
      </c>
      <c r="H61" s="278"/>
      <c r="I61" s="278"/>
      <c r="J61" s="278"/>
      <c r="K61" s="278"/>
      <c r="L61" s="278" t="s">
        <v>8</v>
      </c>
      <c r="M61" s="278" t="s">
        <v>9</v>
      </c>
      <c r="N61" s="278" t="s">
        <v>10</v>
      </c>
      <c r="O61" s="278" t="s">
        <v>10</v>
      </c>
      <c r="P61" s="362" t="s">
        <v>12</v>
      </c>
      <c r="Q61" s="401" t="s">
        <v>218</v>
      </c>
    </row>
    <row r="62" spans="1:17" x14ac:dyDescent="0.25">
      <c r="A62" s="278"/>
      <c r="B62" s="278"/>
      <c r="C62" s="278"/>
      <c r="D62" s="278"/>
      <c r="E62" s="278"/>
      <c r="F62" s="278"/>
      <c r="G62" s="278" t="s">
        <v>13</v>
      </c>
      <c r="H62" s="278" t="s">
        <v>14</v>
      </c>
      <c r="I62" s="278" t="s">
        <v>15</v>
      </c>
      <c r="J62" s="278" t="s">
        <v>16</v>
      </c>
      <c r="K62" s="278" t="s">
        <v>17</v>
      </c>
      <c r="L62" s="278"/>
      <c r="M62" s="278"/>
      <c r="N62" s="278"/>
      <c r="O62" s="278"/>
      <c r="P62" s="362"/>
      <c r="Q62" s="402"/>
    </row>
    <row r="63" spans="1:17" x14ac:dyDescent="0.25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362"/>
      <c r="Q63" s="402"/>
    </row>
    <row r="64" spans="1:17" ht="15.75" x14ac:dyDescent="0.25">
      <c r="A64" s="3" t="s">
        <v>18</v>
      </c>
      <c r="B64" s="3" t="s">
        <v>19</v>
      </c>
      <c r="C64" s="3"/>
      <c r="D64" s="3" t="s">
        <v>20</v>
      </c>
      <c r="E64" s="3" t="s">
        <v>21</v>
      </c>
      <c r="F64" s="3" t="s">
        <v>22</v>
      </c>
      <c r="G64" s="3" t="s">
        <v>23</v>
      </c>
      <c r="H64" s="3" t="s">
        <v>23</v>
      </c>
      <c r="I64" s="3" t="s">
        <v>24</v>
      </c>
      <c r="J64" s="3" t="s">
        <v>22</v>
      </c>
      <c r="K64" s="3" t="s">
        <v>24</v>
      </c>
      <c r="L64" s="3" t="s">
        <v>25</v>
      </c>
      <c r="M64" s="3" t="s">
        <v>25</v>
      </c>
      <c r="N64" s="3" t="s">
        <v>26</v>
      </c>
      <c r="O64" s="3" t="s">
        <v>27</v>
      </c>
      <c r="P64" s="2" t="s">
        <v>28</v>
      </c>
      <c r="Q64" s="403">
        <f>$P$59/P67*100-100</f>
        <v>15.834555176568486</v>
      </c>
    </row>
    <row r="65" spans="1:17" ht="31.5" x14ac:dyDescent="0.25">
      <c r="A65" s="3">
        <v>1</v>
      </c>
      <c r="B65" s="12" t="s">
        <v>42</v>
      </c>
      <c r="C65" s="12" t="s">
        <v>29</v>
      </c>
      <c r="D65" s="3" t="s">
        <v>30</v>
      </c>
      <c r="E65" s="3">
        <v>1.4</v>
      </c>
      <c r="F65" s="3">
        <v>73</v>
      </c>
      <c r="G65" s="16">
        <f>H65*(100)/F65</f>
        <v>164.38356164383561</v>
      </c>
      <c r="H65" s="3">
        <v>120</v>
      </c>
      <c r="I65" s="17">
        <f>1/(H65/(10*F65))</f>
        <v>6.0833333333333339</v>
      </c>
      <c r="J65" s="3">
        <v>0</v>
      </c>
      <c r="K65" s="17">
        <f>I65-(I65/100*J65)</f>
        <v>6.0833333333333339</v>
      </c>
      <c r="L65" s="8">
        <v>550</v>
      </c>
      <c r="M65" s="8">
        <f>E65*L65</f>
        <v>770</v>
      </c>
      <c r="N65" s="9">
        <f>A65/K65</f>
        <v>0.16438356164383561</v>
      </c>
      <c r="O65" s="9">
        <f>E65*N65</f>
        <v>0.23013698630136983</v>
      </c>
      <c r="P65" s="10">
        <f>O65*L65</f>
        <v>126.57534246575341</v>
      </c>
      <c r="Q65" s="403"/>
    </row>
    <row r="66" spans="1:17" ht="31.5" x14ac:dyDescent="0.25">
      <c r="A66" s="3">
        <v>1</v>
      </c>
      <c r="B66" s="12" t="s">
        <v>43</v>
      </c>
      <c r="C66" s="12" t="s">
        <v>32</v>
      </c>
      <c r="D66" s="19">
        <v>7036</v>
      </c>
      <c r="E66" s="3">
        <v>1.3</v>
      </c>
      <c r="F66" s="3">
        <v>58</v>
      </c>
      <c r="G66" s="16">
        <f>H66*100/F66</f>
        <v>103.44827586206897</v>
      </c>
      <c r="H66" s="3">
        <v>60</v>
      </c>
      <c r="I66" s="17">
        <f>1/(H66/(10*F66))</f>
        <v>9.6666666666666661</v>
      </c>
      <c r="J66" s="3">
        <v>0</v>
      </c>
      <c r="K66" s="17">
        <f>I66-(I66/100*J66)</f>
        <v>9.6666666666666661</v>
      </c>
      <c r="L66" s="8">
        <v>760</v>
      </c>
      <c r="M66" s="8">
        <f>E66*L66</f>
        <v>988</v>
      </c>
      <c r="N66" s="9">
        <f>A66/K66</f>
        <v>0.10344827586206898</v>
      </c>
      <c r="O66" s="9">
        <f>E66*N66</f>
        <v>0.13448275862068967</v>
      </c>
      <c r="P66" s="10">
        <f>O66*L66</f>
        <v>102.20689655172416</v>
      </c>
      <c r="Q66" s="403"/>
    </row>
    <row r="67" spans="1:17" ht="15.75" x14ac:dyDescent="0.25">
      <c r="A67" s="3"/>
      <c r="B67" s="335" t="s">
        <v>35</v>
      </c>
      <c r="C67" s="335"/>
      <c r="D67" s="335"/>
      <c r="E67" s="335"/>
      <c r="F67" s="335"/>
      <c r="G67" s="335"/>
      <c r="H67" s="3">
        <f>SUM(H65:H66)</f>
        <v>180</v>
      </c>
      <c r="I67" s="400" t="s">
        <v>216</v>
      </c>
      <c r="J67" s="400"/>
      <c r="K67" s="400"/>
      <c r="L67" s="400"/>
      <c r="M67" s="400"/>
      <c r="N67" s="400"/>
      <c r="O67" s="400"/>
      <c r="P67" s="94">
        <f>P65+P66</f>
        <v>228.78223901747756</v>
      </c>
      <c r="Q67" s="403"/>
    </row>
    <row r="68" spans="1:17" x14ac:dyDescent="0.25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</row>
    <row r="69" spans="1:17" ht="15" customHeight="1" x14ac:dyDescent="0.25">
      <c r="A69" s="322" t="s">
        <v>0</v>
      </c>
      <c r="B69" s="322" t="s">
        <v>1</v>
      </c>
      <c r="C69" s="322" t="s">
        <v>2</v>
      </c>
      <c r="D69" s="322" t="s">
        <v>3</v>
      </c>
      <c r="E69" s="322" t="s">
        <v>4</v>
      </c>
      <c r="F69" s="322" t="s">
        <v>5</v>
      </c>
      <c r="G69" s="322" t="s">
        <v>6</v>
      </c>
      <c r="H69" s="322"/>
      <c r="I69" s="322" t="s">
        <v>7</v>
      </c>
      <c r="J69" s="322"/>
      <c r="K69" s="322"/>
      <c r="L69" s="322" t="s">
        <v>8</v>
      </c>
      <c r="M69" s="278" t="s">
        <v>9</v>
      </c>
      <c r="N69" s="278" t="s">
        <v>10</v>
      </c>
      <c r="O69" s="278" t="s">
        <v>11</v>
      </c>
      <c r="P69" s="362" t="s">
        <v>12</v>
      </c>
      <c r="Q69" s="401" t="s">
        <v>218</v>
      </c>
    </row>
    <row r="70" spans="1:17" ht="14.45" customHeight="1" x14ac:dyDescent="0.25">
      <c r="A70" s="322"/>
      <c r="B70" s="322"/>
      <c r="C70" s="322"/>
      <c r="D70" s="322"/>
      <c r="E70" s="322"/>
      <c r="F70" s="322"/>
      <c r="G70" s="322" t="s">
        <v>13</v>
      </c>
      <c r="H70" s="322" t="s">
        <v>14</v>
      </c>
      <c r="I70" s="322" t="s">
        <v>15</v>
      </c>
      <c r="J70" s="322" t="s">
        <v>16</v>
      </c>
      <c r="K70" s="322" t="s">
        <v>17</v>
      </c>
      <c r="L70" s="322"/>
      <c r="M70" s="278"/>
      <c r="N70" s="278"/>
      <c r="O70" s="278"/>
      <c r="P70" s="362"/>
      <c r="Q70" s="402"/>
    </row>
    <row r="71" spans="1:17" ht="14.45" customHeight="1" x14ac:dyDescent="0.25">
      <c r="A71" s="322"/>
      <c r="B71" s="322"/>
      <c r="C71" s="322"/>
      <c r="D71" s="322"/>
      <c r="E71" s="322"/>
      <c r="F71" s="322"/>
      <c r="G71" s="322"/>
      <c r="H71" s="322"/>
      <c r="I71" s="322"/>
      <c r="J71" s="322"/>
      <c r="K71" s="322"/>
      <c r="L71" s="322"/>
      <c r="M71" s="278"/>
      <c r="N71" s="278"/>
      <c r="O71" s="278"/>
      <c r="P71" s="362"/>
      <c r="Q71" s="402"/>
    </row>
    <row r="72" spans="1:17" ht="15.75" x14ac:dyDescent="0.25">
      <c r="A72" s="2" t="s">
        <v>18</v>
      </c>
      <c r="B72" s="2" t="s">
        <v>19</v>
      </c>
      <c r="C72" s="2"/>
      <c r="D72" s="2" t="s">
        <v>20</v>
      </c>
      <c r="E72" s="2" t="s">
        <v>21</v>
      </c>
      <c r="F72" s="2" t="s">
        <v>22</v>
      </c>
      <c r="G72" s="2" t="s">
        <v>23</v>
      </c>
      <c r="H72" s="2" t="s">
        <v>23</v>
      </c>
      <c r="I72" s="2" t="s">
        <v>24</v>
      </c>
      <c r="J72" s="2" t="s">
        <v>22</v>
      </c>
      <c r="K72" s="2" t="s">
        <v>24</v>
      </c>
      <c r="L72" s="2" t="s">
        <v>25</v>
      </c>
      <c r="M72" s="3" t="s">
        <v>25</v>
      </c>
      <c r="N72" s="3" t="s">
        <v>26</v>
      </c>
      <c r="O72" s="3" t="s">
        <v>27</v>
      </c>
      <c r="P72" s="2" t="s">
        <v>28</v>
      </c>
      <c r="Q72" s="403">
        <f>$P$59/P75*100-100</f>
        <v>4.2433588146948011</v>
      </c>
    </row>
    <row r="73" spans="1:17" ht="31.5" x14ac:dyDescent="0.25">
      <c r="A73" s="2">
        <v>1</v>
      </c>
      <c r="B73" s="4" t="s">
        <v>65</v>
      </c>
      <c r="C73" s="4" t="s">
        <v>29</v>
      </c>
      <c r="D73" s="2" t="s">
        <v>30</v>
      </c>
      <c r="E73" s="2">
        <v>1.6</v>
      </c>
      <c r="F73" s="2">
        <v>74</v>
      </c>
      <c r="G73" s="5">
        <f>H73*100/F73</f>
        <v>162.16216216216216</v>
      </c>
      <c r="H73" s="2">
        <v>120</v>
      </c>
      <c r="I73" s="6">
        <f>1/(H73/(10*F73))</f>
        <v>6.1666666666666661</v>
      </c>
      <c r="J73" s="2">
        <v>0</v>
      </c>
      <c r="K73" s="6">
        <f>I73-(I73/100*J73)</f>
        <v>6.1666666666666661</v>
      </c>
      <c r="L73" s="7">
        <f>M73/E73</f>
        <v>537.5</v>
      </c>
      <c r="M73" s="8">
        <v>860</v>
      </c>
      <c r="N73" s="9">
        <f>A73/K73</f>
        <v>0.16216216216216217</v>
      </c>
      <c r="O73" s="8">
        <f>E73*N73</f>
        <v>0.25945945945945947</v>
      </c>
      <c r="P73" s="10">
        <f>O73*L73</f>
        <v>139.45945945945948</v>
      </c>
      <c r="Q73" s="403"/>
    </row>
    <row r="74" spans="1:17" ht="31.5" x14ac:dyDescent="0.25">
      <c r="A74" s="2">
        <v>1</v>
      </c>
      <c r="B74" s="4" t="s">
        <v>31</v>
      </c>
      <c r="C74" s="4" t="s">
        <v>32</v>
      </c>
      <c r="D74" s="11">
        <v>7036</v>
      </c>
      <c r="E74" s="2">
        <v>1.4</v>
      </c>
      <c r="F74" s="2">
        <v>63</v>
      </c>
      <c r="G74" s="5">
        <f>H74*100/F74</f>
        <v>95.238095238095241</v>
      </c>
      <c r="H74" s="2">
        <v>60</v>
      </c>
      <c r="I74" s="6">
        <f>1/(H74/(10*F74))</f>
        <v>10.5</v>
      </c>
      <c r="J74" s="2">
        <v>0</v>
      </c>
      <c r="K74" s="6">
        <f>I74-(I74/100*J74)</f>
        <v>10.5</v>
      </c>
      <c r="L74" s="7">
        <f>M74/E74</f>
        <v>860.71428571428578</v>
      </c>
      <c r="M74" s="8">
        <v>1205</v>
      </c>
      <c r="N74" s="9">
        <f>A74/K74</f>
        <v>9.5238095238095233E-2</v>
      </c>
      <c r="O74" s="9">
        <f>E74*N74</f>
        <v>0.1333333333333333</v>
      </c>
      <c r="P74" s="10">
        <f>O74*L74</f>
        <v>114.76190476190474</v>
      </c>
      <c r="Q74" s="403"/>
    </row>
    <row r="75" spans="1:17" ht="14.45" customHeight="1" x14ac:dyDescent="0.25">
      <c r="A75" s="2"/>
      <c r="B75" s="363" t="s">
        <v>35</v>
      </c>
      <c r="C75" s="363"/>
      <c r="D75" s="363"/>
      <c r="E75" s="363"/>
      <c r="F75" s="363"/>
      <c r="G75" s="363"/>
      <c r="H75" s="2">
        <f>SUM(H73:H74)</f>
        <v>180</v>
      </c>
      <c r="I75" s="400" t="s">
        <v>216</v>
      </c>
      <c r="J75" s="400"/>
      <c r="K75" s="400"/>
      <c r="L75" s="400"/>
      <c r="M75" s="400"/>
      <c r="N75" s="400"/>
      <c r="O75" s="400"/>
      <c r="P75" s="94">
        <f>P73+P74</f>
        <v>254.22136422136424</v>
      </c>
      <c r="Q75" s="403"/>
    </row>
    <row r="80" spans="1:17" ht="15.75" x14ac:dyDescent="0.25">
      <c r="A80" s="322" t="s">
        <v>0</v>
      </c>
      <c r="B80" s="322" t="s">
        <v>1</v>
      </c>
      <c r="C80" s="322" t="s">
        <v>2</v>
      </c>
      <c r="D80" s="322" t="s">
        <v>3</v>
      </c>
      <c r="E80" s="322" t="s">
        <v>4</v>
      </c>
      <c r="F80" s="322" t="s">
        <v>5</v>
      </c>
      <c r="G80" s="322" t="s">
        <v>6</v>
      </c>
      <c r="H80" s="322"/>
      <c r="I80" s="322" t="s">
        <v>7</v>
      </c>
      <c r="J80" s="322"/>
      <c r="K80" s="322"/>
      <c r="L80" s="322" t="s">
        <v>8</v>
      </c>
      <c r="M80" s="278" t="s">
        <v>9</v>
      </c>
      <c r="N80" s="278" t="s">
        <v>10</v>
      </c>
      <c r="O80" s="278" t="s">
        <v>10</v>
      </c>
      <c r="P80" s="362" t="s">
        <v>12</v>
      </c>
      <c r="Q80" s="401" t="s">
        <v>218</v>
      </c>
    </row>
    <row r="81" spans="1:17" x14ac:dyDescent="0.25">
      <c r="A81" s="322"/>
      <c r="B81" s="322"/>
      <c r="C81" s="322"/>
      <c r="D81" s="322"/>
      <c r="E81" s="322"/>
      <c r="F81" s="322"/>
      <c r="G81" s="322" t="s">
        <v>13</v>
      </c>
      <c r="H81" s="322" t="s">
        <v>14</v>
      </c>
      <c r="I81" s="322" t="s">
        <v>15</v>
      </c>
      <c r="J81" s="322" t="s">
        <v>16</v>
      </c>
      <c r="K81" s="322" t="s">
        <v>17</v>
      </c>
      <c r="L81" s="322"/>
      <c r="M81" s="278"/>
      <c r="N81" s="278"/>
      <c r="O81" s="278"/>
      <c r="P81" s="362"/>
      <c r="Q81" s="402"/>
    </row>
    <row r="82" spans="1:17" x14ac:dyDescent="0.25">
      <c r="A82" s="322"/>
      <c r="B82" s="322"/>
      <c r="C82" s="322"/>
      <c r="D82" s="322"/>
      <c r="E82" s="322"/>
      <c r="F82" s="322"/>
      <c r="G82" s="322"/>
      <c r="H82" s="322"/>
      <c r="I82" s="322"/>
      <c r="J82" s="322"/>
      <c r="K82" s="322"/>
      <c r="L82" s="322"/>
      <c r="M82" s="278"/>
      <c r="N82" s="278"/>
      <c r="O82" s="278"/>
      <c r="P82" s="362"/>
      <c r="Q82" s="402"/>
    </row>
    <row r="83" spans="1:17" ht="15.75" x14ac:dyDescent="0.25">
      <c r="A83" s="2" t="s">
        <v>18</v>
      </c>
      <c r="B83" s="2" t="s">
        <v>19</v>
      </c>
      <c r="C83" s="2"/>
      <c r="D83" s="2" t="s">
        <v>20</v>
      </c>
      <c r="E83" s="2" t="s">
        <v>21</v>
      </c>
      <c r="F83" s="2" t="s">
        <v>22</v>
      </c>
      <c r="G83" s="2" t="s">
        <v>23</v>
      </c>
      <c r="H83" s="2" t="s">
        <v>23</v>
      </c>
      <c r="I83" s="2" t="s">
        <v>24</v>
      </c>
      <c r="J83" s="2" t="s">
        <v>22</v>
      </c>
      <c r="K83" s="2" t="s">
        <v>24</v>
      </c>
      <c r="L83" s="2" t="s">
        <v>25</v>
      </c>
      <c r="M83" s="3" t="s">
        <v>25</v>
      </c>
      <c r="N83" s="3" t="s">
        <v>26</v>
      </c>
      <c r="O83" s="3" t="s">
        <v>27</v>
      </c>
      <c r="P83" s="2" t="s">
        <v>28</v>
      </c>
      <c r="Q83" s="403">
        <f>$P$86/P86*100-100</f>
        <v>0</v>
      </c>
    </row>
    <row r="84" spans="1:17" ht="15.75" x14ac:dyDescent="0.25">
      <c r="A84" s="2">
        <v>1</v>
      </c>
      <c r="B84" s="58" t="s">
        <v>186</v>
      </c>
      <c r="C84" s="4" t="s">
        <v>29</v>
      </c>
      <c r="D84" s="2" t="s">
        <v>30</v>
      </c>
      <c r="E84" s="2">
        <v>1.34</v>
      </c>
      <c r="F84" s="2">
        <v>72</v>
      </c>
      <c r="G84" s="5">
        <f>H84*100/F84</f>
        <v>166.66666666666666</v>
      </c>
      <c r="H84" s="2">
        <v>120</v>
      </c>
      <c r="I84" s="6">
        <f>1/(H84/(10*F84))</f>
        <v>6</v>
      </c>
      <c r="J84" s="2">
        <v>0</v>
      </c>
      <c r="K84" s="6">
        <f>I84-(I84/100*J84)</f>
        <v>6</v>
      </c>
      <c r="L84" s="7">
        <v>628</v>
      </c>
      <c r="M84" s="8">
        <f>L84*E84</f>
        <v>841.5200000000001</v>
      </c>
      <c r="N84" s="9">
        <f>A84/K84</f>
        <v>0.16666666666666666</v>
      </c>
      <c r="O84" s="8">
        <f>E84*N84</f>
        <v>0.22333333333333333</v>
      </c>
      <c r="P84" s="10">
        <f>O84*L84</f>
        <v>140.25333333333333</v>
      </c>
      <c r="Q84" s="403"/>
    </row>
    <row r="85" spans="1:17" ht="15.75" x14ac:dyDescent="0.25">
      <c r="A85" s="2">
        <v>1</v>
      </c>
      <c r="B85" s="58" t="s">
        <v>187</v>
      </c>
      <c r="C85" s="4" t="s">
        <v>32</v>
      </c>
      <c r="D85" s="11">
        <v>3020</v>
      </c>
      <c r="E85" s="2">
        <v>1.4</v>
      </c>
      <c r="F85" s="2">
        <v>54</v>
      </c>
      <c r="G85" s="5">
        <f>H85*100/F85</f>
        <v>111.11111111111111</v>
      </c>
      <c r="H85" s="2">
        <v>60</v>
      </c>
      <c r="I85" s="6">
        <f>1/(H85/(10*F85))</f>
        <v>9</v>
      </c>
      <c r="J85" s="2">
        <v>0</v>
      </c>
      <c r="K85" s="6">
        <f>I85-(I85/100*J85)</f>
        <v>9</v>
      </c>
      <c r="L85" s="7">
        <v>1045</v>
      </c>
      <c r="M85" s="8">
        <f>L85*E85</f>
        <v>1463</v>
      </c>
      <c r="N85" s="9">
        <f>A85/K85</f>
        <v>0.1111111111111111</v>
      </c>
      <c r="O85" s="9">
        <f>E85*N85</f>
        <v>0.15555555555555553</v>
      </c>
      <c r="P85" s="10">
        <f>O85*L85</f>
        <v>162.55555555555554</v>
      </c>
      <c r="Q85" s="403"/>
    </row>
    <row r="86" spans="1:17" ht="15" customHeight="1" x14ac:dyDescent="0.25">
      <c r="A86" s="2"/>
      <c r="B86" s="363" t="s">
        <v>35</v>
      </c>
      <c r="C86" s="363"/>
      <c r="D86" s="363"/>
      <c r="E86" s="363"/>
      <c r="F86" s="363"/>
      <c r="G86" s="363"/>
      <c r="H86" s="2">
        <f>SUM(H84:H85)</f>
        <v>180</v>
      </c>
      <c r="I86" s="399" t="s">
        <v>216</v>
      </c>
      <c r="J86" s="399"/>
      <c r="K86" s="399"/>
      <c r="L86" s="399"/>
      <c r="M86" s="399"/>
      <c r="N86" s="399"/>
      <c r="O86" s="399"/>
      <c r="P86" s="95">
        <f>P84+P85</f>
        <v>302.80888888888887</v>
      </c>
      <c r="Q86" s="403"/>
    </row>
    <row r="87" spans="1:17" x14ac:dyDescent="0.25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</row>
    <row r="88" spans="1:17" ht="15.75" x14ac:dyDescent="0.25">
      <c r="A88" s="278" t="s">
        <v>0</v>
      </c>
      <c r="B88" s="278" t="s">
        <v>1</v>
      </c>
      <c r="C88" s="278" t="s">
        <v>2</v>
      </c>
      <c r="D88" s="278" t="s">
        <v>3</v>
      </c>
      <c r="E88" s="278" t="s">
        <v>4</v>
      </c>
      <c r="F88" s="278" t="s">
        <v>5</v>
      </c>
      <c r="G88" s="278" t="s">
        <v>6</v>
      </c>
      <c r="H88" s="278"/>
      <c r="I88" s="278"/>
      <c r="J88" s="278"/>
      <c r="K88" s="278"/>
      <c r="L88" s="278" t="s">
        <v>8</v>
      </c>
      <c r="M88" s="278" t="s">
        <v>9</v>
      </c>
      <c r="N88" s="278" t="s">
        <v>10</v>
      </c>
      <c r="O88" s="278" t="s">
        <v>10</v>
      </c>
      <c r="P88" s="362" t="s">
        <v>12</v>
      </c>
      <c r="Q88" s="401" t="s">
        <v>218</v>
      </c>
    </row>
    <row r="89" spans="1:17" x14ac:dyDescent="0.25">
      <c r="A89" s="278"/>
      <c r="B89" s="278"/>
      <c r="C89" s="278"/>
      <c r="D89" s="278"/>
      <c r="E89" s="278"/>
      <c r="F89" s="278"/>
      <c r="G89" s="278" t="s">
        <v>13</v>
      </c>
      <c r="H89" s="278" t="s">
        <v>14</v>
      </c>
      <c r="I89" s="278" t="s">
        <v>15</v>
      </c>
      <c r="J89" s="278" t="s">
        <v>16</v>
      </c>
      <c r="K89" s="278" t="s">
        <v>17</v>
      </c>
      <c r="L89" s="278"/>
      <c r="M89" s="278"/>
      <c r="N89" s="278"/>
      <c r="O89" s="278"/>
      <c r="P89" s="362"/>
      <c r="Q89" s="402"/>
    </row>
    <row r="90" spans="1:17" x14ac:dyDescent="0.25">
      <c r="A90" s="278"/>
      <c r="B90" s="278"/>
      <c r="C90" s="278"/>
      <c r="D90" s="278"/>
      <c r="E90" s="278"/>
      <c r="F90" s="278"/>
      <c r="G90" s="278"/>
      <c r="H90" s="278"/>
      <c r="I90" s="278"/>
      <c r="J90" s="278"/>
      <c r="K90" s="278"/>
      <c r="L90" s="278"/>
      <c r="M90" s="278"/>
      <c r="N90" s="278"/>
      <c r="O90" s="278"/>
      <c r="P90" s="362"/>
      <c r="Q90" s="402"/>
    </row>
    <row r="91" spans="1:17" ht="15.75" x14ac:dyDescent="0.25">
      <c r="A91" s="3" t="s">
        <v>18</v>
      </c>
      <c r="B91" s="3" t="s">
        <v>19</v>
      </c>
      <c r="C91" s="3"/>
      <c r="D91" s="3" t="s">
        <v>20</v>
      </c>
      <c r="E91" s="3" t="s">
        <v>21</v>
      </c>
      <c r="F91" s="3" t="s">
        <v>22</v>
      </c>
      <c r="G91" s="3" t="s">
        <v>23</v>
      </c>
      <c r="H91" s="3" t="s">
        <v>23</v>
      </c>
      <c r="I91" s="3" t="s">
        <v>24</v>
      </c>
      <c r="J91" s="3" t="s">
        <v>22</v>
      </c>
      <c r="K91" s="3" t="s">
        <v>24</v>
      </c>
      <c r="L91" s="3" t="s">
        <v>25</v>
      </c>
      <c r="M91" s="3" t="s">
        <v>25</v>
      </c>
      <c r="N91" s="3" t="s">
        <v>26</v>
      </c>
      <c r="O91" s="3" t="s">
        <v>27</v>
      </c>
      <c r="P91" s="2" t="s">
        <v>28</v>
      </c>
      <c r="Q91" s="403">
        <f>$P$86/P94*100-100</f>
        <v>13.364938423559408</v>
      </c>
    </row>
    <row r="92" spans="1:17" ht="31.5" x14ac:dyDescent="0.25">
      <c r="A92" s="3">
        <v>1</v>
      </c>
      <c r="B92" s="12" t="s">
        <v>42</v>
      </c>
      <c r="C92" s="12" t="s">
        <v>29</v>
      </c>
      <c r="D92" s="3" t="s">
        <v>30</v>
      </c>
      <c r="E92" s="3">
        <v>1.4</v>
      </c>
      <c r="F92" s="3">
        <v>73</v>
      </c>
      <c r="G92" s="16">
        <f>H92*(100)/F92</f>
        <v>164.38356164383561</v>
      </c>
      <c r="H92" s="3">
        <v>120</v>
      </c>
      <c r="I92" s="17">
        <f>1/(H92/(10*F92))</f>
        <v>6.0833333333333339</v>
      </c>
      <c r="J92" s="3">
        <v>0</v>
      </c>
      <c r="K92" s="17">
        <f>I92-(I92/100*J92)</f>
        <v>6.0833333333333339</v>
      </c>
      <c r="L92" s="8">
        <v>550</v>
      </c>
      <c r="M92" s="8">
        <f>E92*L92</f>
        <v>770</v>
      </c>
      <c r="N92" s="9">
        <f>A92/K92</f>
        <v>0.16438356164383561</v>
      </c>
      <c r="O92" s="9">
        <f>E92*N92</f>
        <v>0.23013698630136983</v>
      </c>
      <c r="P92" s="10">
        <f>O92*L92</f>
        <v>126.57534246575341</v>
      </c>
      <c r="Q92" s="403"/>
    </row>
    <row r="93" spans="1:17" ht="31.5" x14ac:dyDescent="0.25">
      <c r="A93" s="3">
        <v>1</v>
      </c>
      <c r="B93" s="12" t="s">
        <v>43</v>
      </c>
      <c r="C93" s="12" t="s">
        <v>32</v>
      </c>
      <c r="D93" s="19">
        <v>3020</v>
      </c>
      <c r="E93" s="3">
        <v>1.3</v>
      </c>
      <c r="F93" s="3">
        <v>58</v>
      </c>
      <c r="G93" s="16">
        <f>H93*100/F93</f>
        <v>103.44827586206897</v>
      </c>
      <c r="H93" s="3">
        <v>60</v>
      </c>
      <c r="I93" s="17">
        <f>1/(H93/(10*F93))</f>
        <v>9.6666666666666661</v>
      </c>
      <c r="J93" s="3">
        <v>0</v>
      </c>
      <c r="K93" s="17">
        <f>I93-(I93/100*J93)</f>
        <v>9.6666666666666661</v>
      </c>
      <c r="L93" s="8">
        <v>1045</v>
      </c>
      <c r="M93" s="8">
        <f>E93*L93</f>
        <v>1358.5</v>
      </c>
      <c r="N93" s="9">
        <f>A93/K93</f>
        <v>0.10344827586206898</v>
      </c>
      <c r="O93" s="9">
        <f>E93*N93</f>
        <v>0.13448275862068967</v>
      </c>
      <c r="P93" s="10">
        <f>O93*L93</f>
        <v>140.5344827586207</v>
      </c>
      <c r="Q93" s="403"/>
    </row>
    <row r="94" spans="1:17" ht="15.75" x14ac:dyDescent="0.25">
      <c r="A94" s="3"/>
      <c r="B94" s="335" t="s">
        <v>35</v>
      </c>
      <c r="C94" s="335"/>
      <c r="D94" s="335"/>
      <c r="E94" s="335"/>
      <c r="F94" s="335"/>
      <c r="G94" s="335"/>
      <c r="H94" s="3">
        <f>SUM(H92:H93)</f>
        <v>180</v>
      </c>
      <c r="I94" s="400" t="s">
        <v>216</v>
      </c>
      <c r="J94" s="400"/>
      <c r="K94" s="400"/>
      <c r="L94" s="400"/>
      <c r="M94" s="400"/>
      <c r="N94" s="400"/>
      <c r="O94" s="400"/>
      <c r="P94" s="94">
        <f>P92+P93</f>
        <v>267.10982522437411</v>
      </c>
      <c r="Q94" s="403"/>
    </row>
    <row r="95" spans="1:17" x14ac:dyDescent="0.2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</row>
    <row r="96" spans="1:17" ht="15" customHeight="1" x14ac:dyDescent="0.25">
      <c r="A96" s="322" t="s">
        <v>0</v>
      </c>
      <c r="B96" s="322" t="s">
        <v>1</v>
      </c>
      <c r="C96" s="322" t="s">
        <v>2</v>
      </c>
      <c r="D96" s="322" t="s">
        <v>3</v>
      </c>
      <c r="E96" s="322" t="s">
        <v>4</v>
      </c>
      <c r="F96" s="322" t="s">
        <v>5</v>
      </c>
      <c r="G96" s="322" t="s">
        <v>6</v>
      </c>
      <c r="H96" s="322"/>
      <c r="I96" s="322" t="s">
        <v>7</v>
      </c>
      <c r="J96" s="322"/>
      <c r="K96" s="322"/>
      <c r="L96" s="322" t="s">
        <v>8</v>
      </c>
      <c r="M96" s="278" t="s">
        <v>9</v>
      </c>
      <c r="N96" s="278" t="s">
        <v>10</v>
      </c>
      <c r="O96" s="278" t="s">
        <v>11</v>
      </c>
      <c r="P96" s="362" t="s">
        <v>12</v>
      </c>
      <c r="Q96" s="401" t="s">
        <v>218</v>
      </c>
    </row>
    <row r="97" spans="1:17" ht="14.45" customHeight="1" x14ac:dyDescent="0.25">
      <c r="A97" s="322"/>
      <c r="B97" s="322"/>
      <c r="C97" s="322"/>
      <c r="D97" s="322"/>
      <c r="E97" s="322"/>
      <c r="F97" s="322"/>
      <c r="G97" s="322" t="s">
        <v>13</v>
      </c>
      <c r="H97" s="322" t="s">
        <v>14</v>
      </c>
      <c r="I97" s="322" t="s">
        <v>15</v>
      </c>
      <c r="J97" s="322" t="s">
        <v>16</v>
      </c>
      <c r="K97" s="322" t="s">
        <v>17</v>
      </c>
      <c r="L97" s="322"/>
      <c r="M97" s="278"/>
      <c r="N97" s="278"/>
      <c r="O97" s="278"/>
      <c r="P97" s="362"/>
      <c r="Q97" s="402"/>
    </row>
    <row r="98" spans="1:17" ht="14.45" customHeight="1" x14ac:dyDescent="0.25">
      <c r="A98" s="322"/>
      <c r="B98" s="322"/>
      <c r="C98" s="322"/>
      <c r="D98" s="322"/>
      <c r="E98" s="322"/>
      <c r="F98" s="322"/>
      <c r="G98" s="322"/>
      <c r="H98" s="322"/>
      <c r="I98" s="322"/>
      <c r="J98" s="322"/>
      <c r="K98" s="322"/>
      <c r="L98" s="322"/>
      <c r="M98" s="278"/>
      <c r="N98" s="278"/>
      <c r="O98" s="278"/>
      <c r="P98" s="362"/>
      <c r="Q98" s="402"/>
    </row>
    <row r="99" spans="1:17" ht="15.75" x14ac:dyDescent="0.25">
      <c r="A99" s="2" t="s">
        <v>18</v>
      </c>
      <c r="B99" s="2" t="s">
        <v>19</v>
      </c>
      <c r="C99" s="2"/>
      <c r="D99" s="2" t="s">
        <v>20</v>
      </c>
      <c r="E99" s="2" t="s">
        <v>21</v>
      </c>
      <c r="F99" s="2" t="s">
        <v>22</v>
      </c>
      <c r="G99" s="2" t="s">
        <v>23</v>
      </c>
      <c r="H99" s="2" t="s">
        <v>23</v>
      </c>
      <c r="I99" s="2" t="s">
        <v>24</v>
      </c>
      <c r="J99" s="2" t="s">
        <v>22</v>
      </c>
      <c r="K99" s="2" t="s">
        <v>24</v>
      </c>
      <c r="L99" s="2" t="s">
        <v>25</v>
      </c>
      <c r="M99" s="3" t="s">
        <v>25</v>
      </c>
      <c r="N99" s="3" t="s">
        <v>26</v>
      </c>
      <c r="O99" s="3" t="s">
        <v>27</v>
      </c>
      <c r="P99" s="2" t="s">
        <v>28</v>
      </c>
      <c r="Q99" s="403">
        <f>$P$86/P102*100-100</f>
        <v>5.8305625524769198</v>
      </c>
    </row>
    <row r="100" spans="1:17" ht="31.5" x14ac:dyDescent="0.25">
      <c r="A100" s="2">
        <v>1</v>
      </c>
      <c r="B100" s="4" t="s">
        <v>65</v>
      </c>
      <c r="C100" s="4" t="s">
        <v>29</v>
      </c>
      <c r="D100" s="2" t="s">
        <v>30</v>
      </c>
      <c r="E100" s="2">
        <v>1.6</v>
      </c>
      <c r="F100" s="2">
        <v>74</v>
      </c>
      <c r="G100" s="5">
        <f>H100*100/F100</f>
        <v>162.16216216216216</v>
      </c>
      <c r="H100" s="2">
        <v>120</v>
      </c>
      <c r="I100" s="6">
        <f>1/(H100/(10*F100))</f>
        <v>6.1666666666666661</v>
      </c>
      <c r="J100" s="2">
        <v>0</v>
      </c>
      <c r="K100" s="6">
        <f>I100-(I100/100*J100)</f>
        <v>6.1666666666666661</v>
      </c>
      <c r="L100" s="7">
        <f>M100/E100</f>
        <v>537.5</v>
      </c>
      <c r="M100" s="8">
        <v>860</v>
      </c>
      <c r="N100" s="9">
        <f>A100/K100</f>
        <v>0.16216216216216217</v>
      </c>
      <c r="O100" s="8">
        <f>E100*N100</f>
        <v>0.25945945945945947</v>
      </c>
      <c r="P100" s="10">
        <f>O100*L100</f>
        <v>139.45945945945948</v>
      </c>
      <c r="Q100" s="403"/>
    </row>
    <row r="101" spans="1:17" ht="31.5" x14ac:dyDescent="0.25">
      <c r="A101" s="2">
        <v>1</v>
      </c>
      <c r="B101" s="4" t="s">
        <v>31</v>
      </c>
      <c r="C101" s="4" t="s">
        <v>32</v>
      </c>
      <c r="D101" s="11">
        <v>3020</v>
      </c>
      <c r="E101" s="2">
        <v>1.4</v>
      </c>
      <c r="F101" s="2">
        <v>63</v>
      </c>
      <c r="G101" s="5">
        <f>H101*100/F101</f>
        <v>95.238095238095241</v>
      </c>
      <c r="H101" s="2">
        <v>60</v>
      </c>
      <c r="I101" s="6">
        <f>1/(H101/(10*F101))</f>
        <v>10.5</v>
      </c>
      <c r="J101" s="2">
        <v>0</v>
      </c>
      <c r="K101" s="6">
        <f>I101-(I101/100*J101)</f>
        <v>10.5</v>
      </c>
      <c r="L101" s="7">
        <f>M101/E101</f>
        <v>1100</v>
      </c>
      <c r="M101" s="8">
        <v>1540</v>
      </c>
      <c r="N101" s="9">
        <f>A101/K101</f>
        <v>9.5238095238095233E-2</v>
      </c>
      <c r="O101" s="9">
        <f>E101*N101</f>
        <v>0.1333333333333333</v>
      </c>
      <c r="P101" s="10">
        <f>O101*L101</f>
        <v>146.66666666666663</v>
      </c>
      <c r="Q101" s="403"/>
    </row>
    <row r="102" spans="1:17" ht="14.45" customHeight="1" x14ac:dyDescent="0.25">
      <c r="A102" s="2"/>
      <c r="B102" s="363" t="s">
        <v>35</v>
      </c>
      <c r="C102" s="363"/>
      <c r="D102" s="363"/>
      <c r="E102" s="363"/>
      <c r="F102" s="363"/>
      <c r="G102" s="363"/>
      <c r="H102" s="2">
        <f>SUM(H100:H101)</f>
        <v>180</v>
      </c>
      <c r="I102" s="400" t="s">
        <v>216</v>
      </c>
      <c r="J102" s="400"/>
      <c r="K102" s="400"/>
      <c r="L102" s="400"/>
      <c r="M102" s="400"/>
      <c r="N102" s="400"/>
      <c r="O102" s="400"/>
      <c r="P102" s="94">
        <f>P100+P101</f>
        <v>286.12612612612611</v>
      </c>
      <c r="Q102" s="403"/>
    </row>
    <row r="105" spans="1:17" ht="15.75" x14ac:dyDescent="0.25">
      <c r="A105" s="322" t="s">
        <v>0</v>
      </c>
      <c r="B105" s="322" t="s">
        <v>1</v>
      </c>
      <c r="C105" s="322" t="s">
        <v>2</v>
      </c>
      <c r="D105" s="322" t="s">
        <v>3</v>
      </c>
      <c r="E105" s="322" t="s">
        <v>4</v>
      </c>
      <c r="F105" s="322" t="s">
        <v>5</v>
      </c>
      <c r="G105" s="322" t="s">
        <v>6</v>
      </c>
      <c r="H105" s="322"/>
      <c r="I105" s="322" t="s">
        <v>7</v>
      </c>
      <c r="J105" s="322"/>
      <c r="K105" s="322"/>
      <c r="L105" s="322" t="s">
        <v>8</v>
      </c>
      <c r="M105" s="278" t="s">
        <v>9</v>
      </c>
      <c r="N105" s="278" t="s">
        <v>10</v>
      </c>
      <c r="O105" s="278" t="s">
        <v>10</v>
      </c>
      <c r="P105" s="362" t="s">
        <v>12</v>
      </c>
      <c r="Q105" s="401" t="s">
        <v>218</v>
      </c>
    </row>
    <row r="106" spans="1:17" x14ac:dyDescent="0.25">
      <c r="A106" s="322"/>
      <c r="B106" s="322"/>
      <c r="C106" s="322"/>
      <c r="D106" s="322"/>
      <c r="E106" s="322"/>
      <c r="F106" s="322"/>
      <c r="G106" s="322" t="s">
        <v>13</v>
      </c>
      <c r="H106" s="322" t="s">
        <v>14</v>
      </c>
      <c r="I106" s="322" t="s">
        <v>15</v>
      </c>
      <c r="J106" s="322" t="s">
        <v>16</v>
      </c>
      <c r="K106" s="322" t="s">
        <v>17</v>
      </c>
      <c r="L106" s="322"/>
      <c r="M106" s="278"/>
      <c r="N106" s="278"/>
      <c r="O106" s="278"/>
      <c r="P106" s="362"/>
      <c r="Q106" s="402"/>
    </row>
    <row r="107" spans="1:17" x14ac:dyDescent="0.25">
      <c r="A107" s="322"/>
      <c r="B107" s="322"/>
      <c r="C107" s="322"/>
      <c r="D107" s="322"/>
      <c r="E107" s="322"/>
      <c r="F107" s="322"/>
      <c r="G107" s="322"/>
      <c r="H107" s="322"/>
      <c r="I107" s="322"/>
      <c r="J107" s="322"/>
      <c r="K107" s="322"/>
      <c r="L107" s="322"/>
      <c r="M107" s="278"/>
      <c r="N107" s="278"/>
      <c r="O107" s="278"/>
      <c r="P107" s="362"/>
      <c r="Q107" s="402"/>
    </row>
    <row r="108" spans="1:17" ht="15.75" x14ac:dyDescent="0.25">
      <c r="A108" s="2" t="s">
        <v>18</v>
      </c>
      <c r="B108" s="2" t="s">
        <v>19</v>
      </c>
      <c r="C108" s="2"/>
      <c r="D108" s="2" t="s">
        <v>20</v>
      </c>
      <c r="E108" s="2" t="s">
        <v>21</v>
      </c>
      <c r="F108" s="2" t="s">
        <v>22</v>
      </c>
      <c r="G108" s="2" t="s">
        <v>23</v>
      </c>
      <c r="H108" s="2" t="s">
        <v>23</v>
      </c>
      <c r="I108" s="2" t="s">
        <v>24</v>
      </c>
      <c r="J108" s="2" t="s">
        <v>22</v>
      </c>
      <c r="K108" s="2" t="s">
        <v>24</v>
      </c>
      <c r="L108" s="2" t="s">
        <v>25</v>
      </c>
      <c r="M108" s="3" t="s">
        <v>25</v>
      </c>
      <c r="N108" s="3" t="s">
        <v>26</v>
      </c>
      <c r="O108" s="3" t="s">
        <v>27</v>
      </c>
      <c r="P108" s="2" t="s">
        <v>28</v>
      </c>
      <c r="Q108" s="403">
        <f>$P$111/P111*100-100</f>
        <v>0</v>
      </c>
    </row>
    <row r="109" spans="1:17" ht="15.75" x14ac:dyDescent="0.25">
      <c r="A109" s="2">
        <v>1</v>
      </c>
      <c r="B109" s="58" t="s">
        <v>186</v>
      </c>
      <c r="C109" s="4" t="s">
        <v>29</v>
      </c>
      <c r="D109" s="2" t="s">
        <v>30</v>
      </c>
      <c r="E109" s="2">
        <v>1.34</v>
      </c>
      <c r="F109" s="2">
        <v>72</v>
      </c>
      <c r="G109" s="5">
        <f>H109*100/F109</f>
        <v>166.66666666666666</v>
      </c>
      <c r="H109" s="2">
        <v>120</v>
      </c>
      <c r="I109" s="6">
        <f>1/(H109/(10*F109))</f>
        <v>6</v>
      </c>
      <c r="J109" s="2">
        <v>0</v>
      </c>
      <c r="K109" s="6">
        <f>I109-(I109/100*J109)</f>
        <v>6</v>
      </c>
      <c r="L109" s="7">
        <v>628</v>
      </c>
      <c r="M109" s="8">
        <f>L109*E109</f>
        <v>841.5200000000001</v>
      </c>
      <c r="N109" s="9">
        <f>A109/K109</f>
        <v>0.16666666666666666</v>
      </c>
      <c r="O109" s="8">
        <f>E109*N109</f>
        <v>0.22333333333333333</v>
      </c>
      <c r="P109" s="10">
        <f>O109*L109</f>
        <v>140.25333333333333</v>
      </c>
      <c r="Q109" s="403"/>
    </row>
    <row r="110" spans="1:17" ht="15.75" x14ac:dyDescent="0.25">
      <c r="A110" s="2">
        <v>1</v>
      </c>
      <c r="B110" s="58" t="s">
        <v>187</v>
      </c>
      <c r="C110" s="4" t="s">
        <v>32</v>
      </c>
      <c r="D110" s="11">
        <v>3003</v>
      </c>
      <c r="E110" s="2">
        <v>1.4</v>
      </c>
      <c r="F110" s="2">
        <v>54</v>
      </c>
      <c r="G110" s="5">
        <f>H110*100/F110</f>
        <v>111.11111111111111</v>
      </c>
      <c r="H110" s="2">
        <v>60</v>
      </c>
      <c r="I110" s="6">
        <f>1/(H110/(10*F110))</f>
        <v>9</v>
      </c>
      <c r="J110" s="2">
        <v>0</v>
      </c>
      <c r="K110" s="6">
        <f>I110-(I110/100*J110)</f>
        <v>9</v>
      </c>
      <c r="L110" s="7">
        <v>1610</v>
      </c>
      <c r="M110" s="8">
        <f>L110*E110</f>
        <v>2254</v>
      </c>
      <c r="N110" s="9">
        <f>A110/K110</f>
        <v>0.1111111111111111</v>
      </c>
      <c r="O110" s="9">
        <f>E110*N110</f>
        <v>0.15555555555555553</v>
      </c>
      <c r="P110" s="10">
        <f>O110*L110</f>
        <v>250.4444444444444</v>
      </c>
      <c r="Q110" s="403"/>
    </row>
    <row r="111" spans="1:17" ht="15" customHeight="1" x14ac:dyDescent="0.25">
      <c r="A111" s="2"/>
      <c r="B111" s="363" t="s">
        <v>35</v>
      </c>
      <c r="C111" s="363"/>
      <c r="D111" s="363"/>
      <c r="E111" s="363"/>
      <c r="F111" s="363"/>
      <c r="G111" s="363"/>
      <c r="H111" s="2">
        <f>SUM(H109:H110)</f>
        <v>180</v>
      </c>
      <c r="I111" s="399" t="s">
        <v>216</v>
      </c>
      <c r="J111" s="399"/>
      <c r="K111" s="399"/>
      <c r="L111" s="399"/>
      <c r="M111" s="399"/>
      <c r="N111" s="399"/>
      <c r="O111" s="399"/>
      <c r="P111" s="95">
        <f>P109+P110</f>
        <v>390.69777777777773</v>
      </c>
      <c r="Q111" s="403"/>
    </row>
    <row r="112" spans="1:17" x14ac:dyDescent="0.25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</row>
    <row r="113" spans="1:17" ht="15.75" x14ac:dyDescent="0.25">
      <c r="A113" s="278" t="s">
        <v>0</v>
      </c>
      <c r="B113" s="278" t="s">
        <v>1</v>
      </c>
      <c r="C113" s="278" t="s">
        <v>2</v>
      </c>
      <c r="D113" s="278" t="s">
        <v>3</v>
      </c>
      <c r="E113" s="278" t="s">
        <v>4</v>
      </c>
      <c r="F113" s="278" t="s">
        <v>5</v>
      </c>
      <c r="G113" s="278" t="s">
        <v>6</v>
      </c>
      <c r="H113" s="278"/>
      <c r="I113" s="278"/>
      <c r="J113" s="278"/>
      <c r="K113" s="278"/>
      <c r="L113" s="278" t="s">
        <v>8</v>
      </c>
      <c r="M113" s="278" t="s">
        <v>9</v>
      </c>
      <c r="N113" s="278" t="s">
        <v>10</v>
      </c>
      <c r="O113" s="278" t="s">
        <v>10</v>
      </c>
      <c r="P113" s="362" t="s">
        <v>12</v>
      </c>
      <c r="Q113" s="401" t="s">
        <v>218</v>
      </c>
    </row>
    <row r="114" spans="1:17" x14ac:dyDescent="0.25">
      <c r="A114" s="278"/>
      <c r="B114" s="278"/>
      <c r="C114" s="278"/>
      <c r="D114" s="278"/>
      <c r="E114" s="278"/>
      <c r="F114" s="278"/>
      <c r="G114" s="278" t="s">
        <v>13</v>
      </c>
      <c r="H114" s="278" t="s">
        <v>14</v>
      </c>
      <c r="I114" s="278" t="s">
        <v>15</v>
      </c>
      <c r="J114" s="278" t="s">
        <v>16</v>
      </c>
      <c r="K114" s="278" t="s">
        <v>17</v>
      </c>
      <c r="L114" s="278"/>
      <c r="M114" s="278"/>
      <c r="N114" s="278"/>
      <c r="O114" s="278"/>
      <c r="P114" s="362"/>
      <c r="Q114" s="402"/>
    </row>
    <row r="115" spans="1:17" x14ac:dyDescent="0.25">
      <c r="A115" s="278"/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362"/>
      <c r="Q115" s="402"/>
    </row>
    <row r="116" spans="1:17" ht="15.75" x14ac:dyDescent="0.25">
      <c r="A116" s="3" t="s">
        <v>18</v>
      </c>
      <c r="B116" s="3" t="s">
        <v>19</v>
      </c>
      <c r="C116" s="3"/>
      <c r="D116" s="3" t="s">
        <v>20</v>
      </c>
      <c r="E116" s="3" t="s">
        <v>21</v>
      </c>
      <c r="F116" s="3" t="s">
        <v>22</v>
      </c>
      <c r="G116" s="3" t="s">
        <v>23</v>
      </c>
      <c r="H116" s="3" t="s">
        <v>23</v>
      </c>
      <c r="I116" s="3" t="s">
        <v>24</v>
      </c>
      <c r="J116" s="3" t="s">
        <v>22</v>
      </c>
      <c r="K116" s="3" t="s">
        <v>24</v>
      </c>
      <c r="L116" s="3" t="s">
        <v>25</v>
      </c>
      <c r="M116" s="3" t="s">
        <v>25</v>
      </c>
      <c r="N116" s="3" t="s">
        <v>26</v>
      </c>
      <c r="O116" s="3" t="s">
        <v>27</v>
      </c>
      <c r="P116" s="2" t="s">
        <v>28</v>
      </c>
      <c r="Q116" s="403">
        <f>$P$111/P119*100-100</f>
        <v>34.736429842378072</v>
      </c>
    </row>
    <row r="117" spans="1:17" ht="31.5" x14ac:dyDescent="0.25">
      <c r="A117" s="3">
        <v>1</v>
      </c>
      <c r="B117" s="12" t="s">
        <v>42</v>
      </c>
      <c r="C117" s="12" t="s">
        <v>29</v>
      </c>
      <c r="D117" s="3" t="s">
        <v>30</v>
      </c>
      <c r="E117" s="3">
        <v>1.4</v>
      </c>
      <c r="F117" s="3">
        <v>73</v>
      </c>
      <c r="G117" s="16">
        <f>H117*(100)/F117</f>
        <v>164.38356164383561</v>
      </c>
      <c r="H117" s="3">
        <v>120</v>
      </c>
      <c r="I117" s="17">
        <f>1/(H117/(10*F117))</f>
        <v>6.0833333333333339</v>
      </c>
      <c r="J117" s="3">
        <v>0</v>
      </c>
      <c r="K117" s="17">
        <f>I117-(I117/100*J117)</f>
        <v>6.0833333333333339</v>
      </c>
      <c r="L117" s="8">
        <v>550</v>
      </c>
      <c r="M117" s="8">
        <f>E117*L117</f>
        <v>770</v>
      </c>
      <c r="N117" s="9">
        <f>A117/K117</f>
        <v>0.16438356164383561</v>
      </c>
      <c r="O117" s="9">
        <f>E117*N117</f>
        <v>0.23013698630136983</v>
      </c>
      <c r="P117" s="10">
        <f>O117*L117</f>
        <v>126.57534246575341</v>
      </c>
      <c r="Q117" s="403"/>
    </row>
    <row r="118" spans="1:17" ht="31.5" x14ac:dyDescent="0.25">
      <c r="A118" s="3">
        <v>1</v>
      </c>
      <c r="B118" s="12" t="s">
        <v>43</v>
      </c>
      <c r="C118" s="12" t="s">
        <v>32</v>
      </c>
      <c r="D118" s="19">
        <v>3003</v>
      </c>
      <c r="E118" s="3">
        <v>1.3</v>
      </c>
      <c r="F118" s="3">
        <v>58</v>
      </c>
      <c r="G118" s="16">
        <f>H118*100/F118</f>
        <v>103.44827586206897</v>
      </c>
      <c r="H118" s="3">
        <v>60</v>
      </c>
      <c r="I118" s="17">
        <f>1/(H118/(10*F118))</f>
        <v>9.6666666666666661</v>
      </c>
      <c r="J118" s="3">
        <v>0</v>
      </c>
      <c r="K118" s="17">
        <f>I118-(I118/100*J118)</f>
        <v>9.6666666666666661</v>
      </c>
      <c r="L118" s="8">
        <v>1215</v>
      </c>
      <c r="M118" s="8">
        <f>E118*L118</f>
        <v>1579.5</v>
      </c>
      <c r="N118" s="9">
        <f>A118/K118</f>
        <v>0.10344827586206898</v>
      </c>
      <c r="O118" s="9">
        <f>E118*N118</f>
        <v>0.13448275862068967</v>
      </c>
      <c r="P118" s="10">
        <f>O118*L118</f>
        <v>163.39655172413796</v>
      </c>
      <c r="Q118" s="403"/>
    </row>
    <row r="119" spans="1:17" ht="15.75" x14ac:dyDescent="0.25">
      <c r="A119" s="3"/>
      <c r="B119" s="335" t="s">
        <v>35</v>
      </c>
      <c r="C119" s="335"/>
      <c r="D119" s="335"/>
      <c r="E119" s="335"/>
      <c r="F119" s="335"/>
      <c r="G119" s="335"/>
      <c r="H119" s="3">
        <f>SUM(H117:H118)</f>
        <v>180</v>
      </c>
      <c r="I119" s="400" t="s">
        <v>216</v>
      </c>
      <c r="J119" s="400"/>
      <c r="K119" s="400"/>
      <c r="L119" s="400"/>
      <c r="M119" s="400"/>
      <c r="N119" s="400"/>
      <c r="O119" s="400"/>
      <c r="P119" s="94">
        <f>P117+P118</f>
        <v>289.97189418989137</v>
      </c>
      <c r="Q119" s="403"/>
    </row>
    <row r="120" spans="1:17" x14ac:dyDescent="0.25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</row>
    <row r="121" spans="1:17" ht="15" customHeight="1" x14ac:dyDescent="0.25">
      <c r="A121" s="322" t="s">
        <v>0</v>
      </c>
      <c r="B121" s="322" t="s">
        <v>1</v>
      </c>
      <c r="C121" s="322" t="s">
        <v>2</v>
      </c>
      <c r="D121" s="322" t="s">
        <v>3</v>
      </c>
      <c r="E121" s="322" t="s">
        <v>4</v>
      </c>
      <c r="F121" s="322" t="s">
        <v>5</v>
      </c>
      <c r="G121" s="322" t="s">
        <v>6</v>
      </c>
      <c r="H121" s="322"/>
      <c r="I121" s="322" t="s">
        <v>7</v>
      </c>
      <c r="J121" s="322"/>
      <c r="K121" s="322"/>
      <c r="L121" s="322" t="s">
        <v>8</v>
      </c>
      <c r="M121" s="278" t="s">
        <v>9</v>
      </c>
      <c r="N121" s="278" t="s">
        <v>10</v>
      </c>
      <c r="O121" s="278" t="s">
        <v>11</v>
      </c>
      <c r="P121" s="362" t="s">
        <v>12</v>
      </c>
      <c r="Q121" s="401" t="s">
        <v>218</v>
      </c>
    </row>
    <row r="122" spans="1:17" ht="14.45" customHeight="1" x14ac:dyDescent="0.25">
      <c r="A122" s="322"/>
      <c r="B122" s="322"/>
      <c r="C122" s="322"/>
      <c r="D122" s="322"/>
      <c r="E122" s="322"/>
      <c r="F122" s="322"/>
      <c r="G122" s="322" t="s">
        <v>13</v>
      </c>
      <c r="H122" s="322" t="s">
        <v>14</v>
      </c>
      <c r="I122" s="322" t="s">
        <v>15</v>
      </c>
      <c r="J122" s="322" t="s">
        <v>16</v>
      </c>
      <c r="K122" s="322" t="s">
        <v>17</v>
      </c>
      <c r="L122" s="322"/>
      <c r="M122" s="278"/>
      <c r="N122" s="278"/>
      <c r="O122" s="278"/>
      <c r="P122" s="362"/>
      <c r="Q122" s="402"/>
    </row>
    <row r="123" spans="1:17" ht="14.45" customHeight="1" x14ac:dyDescent="0.25">
      <c r="A123" s="322"/>
      <c r="B123" s="322"/>
      <c r="C123" s="322"/>
      <c r="D123" s="322"/>
      <c r="E123" s="322"/>
      <c r="F123" s="322"/>
      <c r="G123" s="322"/>
      <c r="H123" s="322"/>
      <c r="I123" s="322"/>
      <c r="J123" s="322"/>
      <c r="K123" s="322"/>
      <c r="L123" s="322"/>
      <c r="M123" s="278"/>
      <c r="N123" s="278"/>
      <c r="O123" s="278"/>
      <c r="P123" s="362"/>
      <c r="Q123" s="402"/>
    </row>
    <row r="124" spans="1:17" ht="15.75" x14ac:dyDescent="0.25">
      <c r="A124" s="2" t="s">
        <v>18</v>
      </c>
      <c r="B124" s="2" t="s">
        <v>19</v>
      </c>
      <c r="C124" s="2"/>
      <c r="D124" s="2" t="s">
        <v>20</v>
      </c>
      <c r="E124" s="2" t="s">
        <v>21</v>
      </c>
      <c r="F124" s="2" t="s">
        <v>22</v>
      </c>
      <c r="G124" s="2" t="s">
        <v>23</v>
      </c>
      <c r="H124" s="2" t="s">
        <v>23</v>
      </c>
      <c r="I124" s="2" t="s">
        <v>24</v>
      </c>
      <c r="J124" s="2" t="s">
        <v>22</v>
      </c>
      <c r="K124" s="2" t="s">
        <v>24</v>
      </c>
      <c r="L124" s="2" t="s">
        <v>25</v>
      </c>
      <c r="M124" s="3" t="s">
        <v>25</v>
      </c>
      <c r="N124" s="3" t="s">
        <v>26</v>
      </c>
      <c r="O124" s="3" t="s">
        <v>27</v>
      </c>
      <c r="P124" s="2" t="s">
        <v>28</v>
      </c>
      <c r="Q124" s="403">
        <f>$P$111/P127*100-100</f>
        <v>29.643053183008732</v>
      </c>
    </row>
    <row r="125" spans="1:17" ht="31.5" x14ac:dyDescent="0.25">
      <c r="A125" s="2">
        <v>1</v>
      </c>
      <c r="B125" s="4" t="s">
        <v>65</v>
      </c>
      <c r="C125" s="4" t="s">
        <v>29</v>
      </c>
      <c r="D125" s="2" t="s">
        <v>30</v>
      </c>
      <c r="E125" s="2">
        <v>1.6</v>
      </c>
      <c r="F125" s="2">
        <v>74</v>
      </c>
      <c r="G125" s="5">
        <f>H125*100/F125</f>
        <v>162.16216216216216</v>
      </c>
      <c r="H125" s="2">
        <v>120</v>
      </c>
      <c r="I125" s="6">
        <f>1/(H125/(10*F125))</f>
        <v>6.1666666666666661</v>
      </c>
      <c r="J125" s="2">
        <v>0</v>
      </c>
      <c r="K125" s="6">
        <f>I125-(I125/100*J125)</f>
        <v>6.1666666666666661</v>
      </c>
      <c r="L125" s="7">
        <f>M125/E125</f>
        <v>537.5</v>
      </c>
      <c r="M125" s="8">
        <v>860</v>
      </c>
      <c r="N125" s="9">
        <f>A125/K125</f>
        <v>0.16216216216216217</v>
      </c>
      <c r="O125" s="8">
        <f>E125*N125</f>
        <v>0.25945945945945947</v>
      </c>
      <c r="P125" s="10">
        <f>O125*L125</f>
        <v>139.45945945945948</v>
      </c>
      <c r="Q125" s="403"/>
    </row>
    <row r="126" spans="1:17" ht="31.5" x14ac:dyDescent="0.25">
      <c r="A126" s="2">
        <v>1</v>
      </c>
      <c r="B126" s="4" t="s">
        <v>31</v>
      </c>
      <c r="C126" s="4" t="s">
        <v>32</v>
      </c>
      <c r="D126" s="11">
        <v>3003</v>
      </c>
      <c r="E126" s="2">
        <v>1.4</v>
      </c>
      <c r="F126" s="2">
        <v>63</v>
      </c>
      <c r="G126" s="5">
        <f>H126*100/F126</f>
        <v>95.238095238095241</v>
      </c>
      <c r="H126" s="2">
        <v>60</v>
      </c>
      <c r="I126" s="6">
        <f>1/(H126/(10*F126))</f>
        <v>10.5</v>
      </c>
      <c r="J126" s="2">
        <v>0</v>
      </c>
      <c r="K126" s="6">
        <f>I126-(I126/100*J126)</f>
        <v>10.5</v>
      </c>
      <c r="L126" s="7">
        <f>M126/E126</f>
        <v>1214.2857142857144</v>
      </c>
      <c r="M126" s="8">
        <v>1700</v>
      </c>
      <c r="N126" s="9">
        <f>A126/K126</f>
        <v>9.5238095238095233E-2</v>
      </c>
      <c r="O126" s="9">
        <f>E126*N126</f>
        <v>0.1333333333333333</v>
      </c>
      <c r="P126" s="10">
        <f>O126*L126</f>
        <v>161.9047619047619</v>
      </c>
      <c r="Q126" s="403"/>
    </row>
    <row r="127" spans="1:17" ht="14.45" customHeight="1" x14ac:dyDescent="0.25">
      <c r="A127" s="2"/>
      <c r="B127" s="363" t="s">
        <v>35</v>
      </c>
      <c r="C127" s="363"/>
      <c r="D127" s="363"/>
      <c r="E127" s="363"/>
      <c r="F127" s="363"/>
      <c r="G127" s="363"/>
      <c r="H127" s="2">
        <f>SUM(H125:H126)</f>
        <v>180</v>
      </c>
      <c r="I127" s="400" t="s">
        <v>216</v>
      </c>
      <c r="J127" s="400"/>
      <c r="K127" s="400"/>
      <c r="L127" s="400"/>
      <c r="M127" s="400"/>
      <c r="N127" s="400"/>
      <c r="O127" s="400"/>
      <c r="P127" s="94">
        <f>P125+P126</f>
        <v>301.36422136422141</v>
      </c>
      <c r="Q127" s="403"/>
    </row>
    <row r="130" spans="1:17" ht="15.75" x14ac:dyDescent="0.25">
      <c r="A130" s="322" t="s">
        <v>0</v>
      </c>
      <c r="B130" s="322" t="s">
        <v>1</v>
      </c>
      <c r="C130" s="322" t="s">
        <v>2</v>
      </c>
      <c r="D130" s="322" t="s">
        <v>3</v>
      </c>
      <c r="E130" s="322" t="s">
        <v>4</v>
      </c>
      <c r="F130" s="322" t="s">
        <v>5</v>
      </c>
      <c r="G130" s="322" t="s">
        <v>6</v>
      </c>
      <c r="H130" s="322"/>
      <c r="I130" s="322" t="s">
        <v>7</v>
      </c>
      <c r="J130" s="322"/>
      <c r="K130" s="322"/>
      <c r="L130" s="322" t="s">
        <v>8</v>
      </c>
      <c r="M130" s="278" t="s">
        <v>9</v>
      </c>
      <c r="N130" s="278" t="s">
        <v>10</v>
      </c>
      <c r="O130" s="278" t="s">
        <v>10</v>
      </c>
      <c r="P130" s="362" t="s">
        <v>12</v>
      </c>
      <c r="Q130" s="401" t="s">
        <v>218</v>
      </c>
    </row>
    <row r="131" spans="1:17" x14ac:dyDescent="0.25">
      <c r="A131" s="322"/>
      <c r="B131" s="322"/>
      <c r="C131" s="322"/>
      <c r="D131" s="322"/>
      <c r="E131" s="322"/>
      <c r="F131" s="322"/>
      <c r="G131" s="322" t="s">
        <v>13</v>
      </c>
      <c r="H131" s="322" t="s">
        <v>14</v>
      </c>
      <c r="I131" s="322" t="s">
        <v>15</v>
      </c>
      <c r="J131" s="322" t="s">
        <v>16</v>
      </c>
      <c r="K131" s="322" t="s">
        <v>17</v>
      </c>
      <c r="L131" s="322"/>
      <c r="M131" s="278"/>
      <c r="N131" s="278"/>
      <c r="O131" s="278"/>
      <c r="P131" s="362"/>
      <c r="Q131" s="402"/>
    </row>
    <row r="132" spans="1:17" x14ac:dyDescent="0.25">
      <c r="A132" s="322"/>
      <c r="B132" s="322"/>
      <c r="C132" s="322"/>
      <c r="D132" s="322"/>
      <c r="E132" s="322"/>
      <c r="F132" s="322"/>
      <c r="G132" s="322"/>
      <c r="H132" s="322"/>
      <c r="I132" s="322"/>
      <c r="J132" s="322"/>
      <c r="K132" s="322"/>
      <c r="L132" s="322"/>
      <c r="M132" s="278"/>
      <c r="N132" s="278"/>
      <c r="O132" s="278"/>
      <c r="P132" s="362"/>
      <c r="Q132" s="402"/>
    </row>
    <row r="133" spans="1:17" ht="15.75" x14ac:dyDescent="0.25">
      <c r="A133" s="2" t="s">
        <v>18</v>
      </c>
      <c r="B133" s="2" t="s">
        <v>19</v>
      </c>
      <c r="C133" s="2"/>
      <c r="D133" s="2" t="s">
        <v>20</v>
      </c>
      <c r="E133" s="2" t="s">
        <v>21</v>
      </c>
      <c r="F133" s="2" t="s">
        <v>22</v>
      </c>
      <c r="G133" s="2" t="s">
        <v>23</v>
      </c>
      <c r="H133" s="2" t="s">
        <v>23</v>
      </c>
      <c r="I133" s="2" t="s">
        <v>24</v>
      </c>
      <c r="J133" s="2" t="s">
        <v>22</v>
      </c>
      <c r="K133" s="2" t="s">
        <v>24</v>
      </c>
      <c r="L133" s="2" t="s">
        <v>25</v>
      </c>
      <c r="M133" s="3" t="s">
        <v>25</v>
      </c>
      <c r="N133" s="3" t="s">
        <v>26</v>
      </c>
      <c r="O133" s="3" t="s">
        <v>27</v>
      </c>
      <c r="P133" s="2" t="s">
        <v>28</v>
      </c>
      <c r="Q133" s="403">
        <f>$P$136/P136*100-100</f>
        <v>0</v>
      </c>
    </row>
    <row r="134" spans="1:17" ht="15.75" x14ac:dyDescent="0.25">
      <c r="A134" s="2">
        <v>1</v>
      </c>
      <c r="B134" s="58" t="s">
        <v>186</v>
      </c>
      <c r="C134" s="4" t="s">
        <v>29</v>
      </c>
      <c r="D134" s="2" t="s">
        <v>30</v>
      </c>
      <c r="E134" s="2">
        <v>1.34</v>
      </c>
      <c r="F134" s="2">
        <v>72</v>
      </c>
      <c r="G134" s="5">
        <f>H134*100/F134</f>
        <v>166.66666666666666</v>
      </c>
      <c r="H134" s="2">
        <v>120</v>
      </c>
      <c r="I134" s="6">
        <f>1/(H134/(10*F134))</f>
        <v>6</v>
      </c>
      <c r="J134" s="2">
        <v>0</v>
      </c>
      <c r="K134" s="6">
        <f>I134-(I134/100*J134)</f>
        <v>6</v>
      </c>
      <c r="L134" s="7">
        <v>628</v>
      </c>
      <c r="M134" s="8">
        <f>L134*E134</f>
        <v>841.5200000000001</v>
      </c>
      <c r="N134" s="9">
        <f>A134/K134</f>
        <v>0.16666666666666666</v>
      </c>
      <c r="O134" s="8">
        <f>E134*N134</f>
        <v>0.22333333333333333</v>
      </c>
      <c r="P134" s="10">
        <f>O134*L134</f>
        <v>140.25333333333333</v>
      </c>
      <c r="Q134" s="403"/>
    </row>
    <row r="135" spans="1:17" ht="15.75" x14ac:dyDescent="0.25">
      <c r="A135" s="2">
        <v>1</v>
      </c>
      <c r="B135" s="58" t="s">
        <v>187</v>
      </c>
      <c r="C135" s="4" t="s">
        <v>32</v>
      </c>
      <c r="D135" s="11">
        <v>1021</v>
      </c>
      <c r="E135" s="2">
        <v>1.4</v>
      </c>
      <c r="F135" s="2">
        <v>54</v>
      </c>
      <c r="G135" s="5">
        <f>H135*100/F135</f>
        <v>111.11111111111111</v>
      </c>
      <c r="H135" s="2">
        <v>60</v>
      </c>
      <c r="I135" s="6">
        <f>1/(H135/(10*F135))</f>
        <v>9</v>
      </c>
      <c r="J135" s="2">
        <v>0</v>
      </c>
      <c r="K135" s="6">
        <f>I135-(I135/100*J135)</f>
        <v>9</v>
      </c>
      <c r="L135" s="7">
        <v>1220</v>
      </c>
      <c r="M135" s="8">
        <f>L135*E135</f>
        <v>1708</v>
      </c>
      <c r="N135" s="9">
        <f>A135/K135</f>
        <v>0.1111111111111111</v>
      </c>
      <c r="O135" s="9">
        <f>E135*N135</f>
        <v>0.15555555555555553</v>
      </c>
      <c r="P135" s="10">
        <f>O135*L135</f>
        <v>189.77777777777774</v>
      </c>
      <c r="Q135" s="403"/>
    </row>
    <row r="136" spans="1:17" ht="15" customHeight="1" x14ac:dyDescent="0.25">
      <c r="A136" s="2"/>
      <c r="B136" s="363" t="s">
        <v>35</v>
      </c>
      <c r="C136" s="363"/>
      <c r="D136" s="363"/>
      <c r="E136" s="363"/>
      <c r="F136" s="363"/>
      <c r="G136" s="363"/>
      <c r="H136" s="2">
        <f>SUM(H134:H135)</f>
        <v>180</v>
      </c>
      <c r="I136" s="399" t="s">
        <v>216</v>
      </c>
      <c r="J136" s="399"/>
      <c r="K136" s="399"/>
      <c r="L136" s="399"/>
      <c r="M136" s="399"/>
      <c r="N136" s="399"/>
      <c r="O136" s="399"/>
      <c r="P136" s="95">
        <f>P134+P135</f>
        <v>330.03111111111104</v>
      </c>
      <c r="Q136" s="403"/>
    </row>
    <row r="137" spans="1:17" x14ac:dyDescent="0.25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</row>
    <row r="138" spans="1:17" ht="15.75" x14ac:dyDescent="0.25">
      <c r="A138" s="278" t="s">
        <v>0</v>
      </c>
      <c r="B138" s="278" t="s">
        <v>1</v>
      </c>
      <c r="C138" s="278" t="s">
        <v>2</v>
      </c>
      <c r="D138" s="278" t="s">
        <v>3</v>
      </c>
      <c r="E138" s="278" t="s">
        <v>4</v>
      </c>
      <c r="F138" s="278" t="s">
        <v>5</v>
      </c>
      <c r="G138" s="278" t="s">
        <v>6</v>
      </c>
      <c r="H138" s="278"/>
      <c r="I138" s="278"/>
      <c r="J138" s="278"/>
      <c r="K138" s="278"/>
      <c r="L138" s="278" t="s">
        <v>8</v>
      </c>
      <c r="M138" s="278" t="s">
        <v>9</v>
      </c>
      <c r="N138" s="278" t="s">
        <v>10</v>
      </c>
      <c r="O138" s="278" t="s">
        <v>10</v>
      </c>
      <c r="P138" s="362" t="s">
        <v>12</v>
      </c>
      <c r="Q138" s="401" t="s">
        <v>218</v>
      </c>
    </row>
    <row r="139" spans="1:17" x14ac:dyDescent="0.25">
      <c r="A139" s="278"/>
      <c r="B139" s="278"/>
      <c r="C139" s="278"/>
      <c r="D139" s="278"/>
      <c r="E139" s="278"/>
      <c r="F139" s="278"/>
      <c r="G139" s="278" t="s">
        <v>13</v>
      </c>
      <c r="H139" s="278" t="s">
        <v>14</v>
      </c>
      <c r="I139" s="278" t="s">
        <v>15</v>
      </c>
      <c r="J139" s="278" t="s">
        <v>16</v>
      </c>
      <c r="K139" s="278" t="s">
        <v>17</v>
      </c>
      <c r="L139" s="278"/>
      <c r="M139" s="278"/>
      <c r="N139" s="278"/>
      <c r="O139" s="278"/>
      <c r="P139" s="362"/>
      <c r="Q139" s="402"/>
    </row>
    <row r="140" spans="1:17" x14ac:dyDescent="0.25">
      <c r="A140" s="278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278"/>
      <c r="O140" s="278"/>
      <c r="P140" s="362"/>
      <c r="Q140" s="402"/>
    </row>
    <row r="141" spans="1:17" ht="15.75" x14ac:dyDescent="0.25">
      <c r="A141" s="3" t="s">
        <v>18</v>
      </c>
      <c r="B141" s="3" t="s">
        <v>19</v>
      </c>
      <c r="C141" s="3"/>
      <c r="D141" s="3" t="s">
        <v>20</v>
      </c>
      <c r="E141" s="3" t="s">
        <v>21</v>
      </c>
      <c r="F141" s="3" t="s">
        <v>22</v>
      </c>
      <c r="G141" s="3" t="s">
        <v>23</v>
      </c>
      <c r="H141" s="3" t="s">
        <v>23</v>
      </c>
      <c r="I141" s="3" t="s">
        <v>24</v>
      </c>
      <c r="J141" s="3" t="s">
        <v>22</v>
      </c>
      <c r="K141" s="3" t="s">
        <v>24</v>
      </c>
      <c r="L141" s="3" t="s">
        <v>25</v>
      </c>
      <c r="M141" s="3" t="s">
        <v>25</v>
      </c>
      <c r="N141" s="3" t="s">
        <v>26</v>
      </c>
      <c r="O141" s="3" t="s">
        <v>27</v>
      </c>
      <c r="P141" s="2" t="s">
        <v>28</v>
      </c>
      <c r="Q141" s="403">
        <f>$P$136/P144*100-100</f>
        <v>17.352525294940421</v>
      </c>
    </row>
    <row r="142" spans="1:17" ht="31.5" x14ac:dyDescent="0.25">
      <c r="A142" s="3">
        <v>1</v>
      </c>
      <c r="B142" s="12" t="s">
        <v>42</v>
      </c>
      <c r="C142" s="12" t="s">
        <v>29</v>
      </c>
      <c r="D142" s="3" t="s">
        <v>30</v>
      </c>
      <c r="E142" s="3">
        <v>1.4</v>
      </c>
      <c r="F142" s="3">
        <v>73</v>
      </c>
      <c r="G142" s="16">
        <f>H142*(100)/F142</f>
        <v>164.38356164383561</v>
      </c>
      <c r="H142" s="3">
        <v>120</v>
      </c>
      <c r="I142" s="17">
        <f>1/(H142/(10*F142))</f>
        <v>6.0833333333333339</v>
      </c>
      <c r="J142" s="3">
        <v>0</v>
      </c>
      <c r="K142" s="17">
        <f>I142-(I142/100*J142)</f>
        <v>6.0833333333333339</v>
      </c>
      <c r="L142" s="8">
        <v>550</v>
      </c>
      <c r="M142" s="8">
        <f>E142*L142</f>
        <v>770</v>
      </c>
      <c r="N142" s="9">
        <f>A142/K142</f>
        <v>0.16438356164383561</v>
      </c>
      <c r="O142" s="9">
        <f>E142*N142</f>
        <v>0.23013698630136983</v>
      </c>
      <c r="P142" s="10">
        <f>O142*L142</f>
        <v>126.57534246575341</v>
      </c>
      <c r="Q142" s="403"/>
    </row>
    <row r="143" spans="1:17" ht="31.5" x14ac:dyDescent="0.25">
      <c r="A143" s="3">
        <v>1</v>
      </c>
      <c r="B143" s="12" t="s">
        <v>43</v>
      </c>
      <c r="C143" s="12" t="s">
        <v>32</v>
      </c>
      <c r="D143" s="19">
        <v>1021</v>
      </c>
      <c r="E143" s="3">
        <v>1.3</v>
      </c>
      <c r="F143" s="3">
        <v>58</v>
      </c>
      <c r="G143" s="16">
        <f>H143*100/F143</f>
        <v>103.44827586206897</v>
      </c>
      <c r="H143" s="3">
        <v>60</v>
      </c>
      <c r="I143" s="17">
        <f>1/(H143/(10*F143))</f>
        <v>9.6666666666666661</v>
      </c>
      <c r="J143" s="3">
        <v>0</v>
      </c>
      <c r="K143" s="17">
        <f>I143-(I143/100*J143)</f>
        <v>9.6666666666666661</v>
      </c>
      <c r="L143" s="8">
        <v>1150</v>
      </c>
      <c r="M143" s="8">
        <f>E143*L143</f>
        <v>1495</v>
      </c>
      <c r="N143" s="9">
        <f>A143/K143</f>
        <v>0.10344827586206898</v>
      </c>
      <c r="O143" s="9">
        <f>E143*N143</f>
        <v>0.13448275862068967</v>
      </c>
      <c r="P143" s="10">
        <f>O143*L143</f>
        <v>154.65517241379314</v>
      </c>
      <c r="Q143" s="403"/>
    </row>
    <row r="144" spans="1:17" ht="15.75" x14ac:dyDescent="0.25">
      <c r="A144" s="3"/>
      <c r="B144" s="335" t="s">
        <v>35</v>
      </c>
      <c r="C144" s="335"/>
      <c r="D144" s="335"/>
      <c r="E144" s="335"/>
      <c r="F144" s="335"/>
      <c r="G144" s="335"/>
      <c r="H144" s="3">
        <f>SUM(H142:H143)</f>
        <v>180</v>
      </c>
      <c r="I144" s="400" t="s">
        <v>216</v>
      </c>
      <c r="J144" s="400"/>
      <c r="K144" s="400"/>
      <c r="L144" s="400"/>
      <c r="M144" s="400"/>
      <c r="N144" s="400"/>
      <c r="O144" s="400"/>
      <c r="P144" s="94">
        <f>P142+P143</f>
        <v>281.23051487954655</v>
      </c>
      <c r="Q144" s="403"/>
    </row>
    <row r="145" spans="1:17" x14ac:dyDescent="0.2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</row>
    <row r="146" spans="1:17" ht="15.75" x14ac:dyDescent="0.25">
      <c r="A146" s="322" t="s">
        <v>0</v>
      </c>
      <c r="B146" s="322" t="s">
        <v>1</v>
      </c>
      <c r="C146" s="322" t="s">
        <v>2</v>
      </c>
      <c r="D146" s="322" t="s">
        <v>3</v>
      </c>
      <c r="E146" s="322" t="s">
        <v>4</v>
      </c>
      <c r="F146" s="322" t="s">
        <v>5</v>
      </c>
      <c r="G146" s="322" t="s">
        <v>6</v>
      </c>
      <c r="H146" s="322"/>
      <c r="I146" s="322" t="s">
        <v>7</v>
      </c>
      <c r="J146" s="322"/>
      <c r="K146" s="322"/>
      <c r="L146" s="322" t="s">
        <v>8</v>
      </c>
      <c r="M146" s="278" t="s">
        <v>9</v>
      </c>
      <c r="N146" s="278" t="s">
        <v>10</v>
      </c>
      <c r="O146" s="278" t="s">
        <v>11</v>
      </c>
      <c r="P146" s="362" t="s">
        <v>12</v>
      </c>
      <c r="Q146" s="401" t="s">
        <v>218</v>
      </c>
    </row>
    <row r="147" spans="1:17" x14ac:dyDescent="0.25">
      <c r="A147" s="322"/>
      <c r="B147" s="322"/>
      <c r="C147" s="322"/>
      <c r="D147" s="322"/>
      <c r="E147" s="322"/>
      <c r="F147" s="322"/>
      <c r="G147" s="322" t="s">
        <v>13</v>
      </c>
      <c r="H147" s="322" t="s">
        <v>14</v>
      </c>
      <c r="I147" s="322" t="s">
        <v>15</v>
      </c>
      <c r="J147" s="322" t="s">
        <v>16</v>
      </c>
      <c r="K147" s="322" t="s">
        <v>17</v>
      </c>
      <c r="L147" s="322"/>
      <c r="M147" s="278"/>
      <c r="N147" s="278"/>
      <c r="O147" s="278"/>
      <c r="P147" s="362"/>
      <c r="Q147" s="402"/>
    </row>
    <row r="148" spans="1:17" x14ac:dyDescent="0.25">
      <c r="A148" s="322"/>
      <c r="B148" s="322"/>
      <c r="C148" s="322"/>
      <c r="D148" s="322"/>
      <c r="E148" s="322"/>
      <c r="F148" s="322"/>
      <c r="G148" s="322"/>
      <c r="H148" s="322"/>
      <c r="I148" s="322"/>
      <c r="J148" s="322"/>
      <c r="K148" s="322"/>
      <c r="L148" s="322"/>
      <c r="M148" s="278"/>
      <c r="N148" s="278"/>
      <c r="O148" s="278"/>
      <c r="P148" s="362"/>
      <c r="Q148" s="402"/>
    </row>
    <row r="149" spans="1:17" ht="15.75" x14ac:dyDescent="0.25">
      <c r="A149" s="2" t="s">
        <v>18</v>
      </c>
      <c r="B149" s="2" t="s">
        <v>19</v>
      </c>
      <c r="C149" s="2"/>
      <c r="D149" s="2" t="s">
        <v>20</v>
      </c>
      <c r="E149" s="2" t="s">
        <v>21</v>
      </c>
      <c r="F149" s="2" t="s">
        <v>22</v>
      </c>
      <c r="G149" s="2" t="s">
        <v>23</v>
      </c>
      <c r="H149" s="2" t="s">
        <v>23</v>
      </c>
      <c r="I149" s="2" t="s">
        <v>24</v>
      </c>
      <c r="J149" s="2" t="s">
        <v>22</v>
      </c>
      <c r="K149" s="2" t="s">
        <v>24</v>
      </c>
      <c r="L149" s="2" t="s">
        <v>25</v>
      </c>
      <c r="M149" s="3" t="s">
        <v>25</v>
      </c>
      <c r="N149" s="3" t="s">
        <v>26</v>
      </c>
      <c r="O149" s="3" t="s">
        <v>27</v>
      </c>
      <c r="P149" s="2" t="s">
        <v>28</v>
      </c>
      <c r="Q149" s="403">
        <f>$P$136/P152*100-100</f>
        <v>3.1554661624897449</v>
      </c>
    </row>
    <row r="150" spans="1:17" ht="31.5" x14ac:dyDescent="0.25">
      <c r="A150" s="2">
        <v>1</v>
      </c>
      <c r="B150" s="4" t="s">
        <v>65</v>
      </c>
      <c r="C150" s="4" t="s">
        <v>29</v>
      </c>
      <c r="D150" s="2" t="s">
        <v>30</v>
      </c>
      <c r="E150" s="2">
        <v>1.6</v>
      </c>
      <c r="F150" s="2">
        <v>74</v>
      </c>
      <c r="G150" s="5">
        <f>H150*100/F150</f>
        <v>162.16216216216216</v>
      </c>
      <c r="H150" s="2">
        <v>120</v>
      </c>
      <c r="I150" s="6">
        <f>1/(H150/(10*F150))</f>
        <v>6.1666666666666661</v>
      </c>
      <c r="J150" s="2">
        <v>0</v>
      </c>
      <c r="K150" s="6">
        <f>I150-(I150/100*J150)</f>
        <v>6.1666666666666661</v>
      </c>
      <c r="L150" s="7">
        <f>M150/E150</f>
        <v>537.5</v>
      </c>
      <c r="M150" s="8">
        <v>860</v>
      </c>
      <c r="N150" s="9">
        <f>A150/K150</f>
        <v>0.16216216216216217</v>
      </c>
      <c r="O150" s="8">
        <f>E150*N150</f>
        <v>0.25945945945945947</v>
      </c>
      <c r="P150" s="10">
        <f>O150*L150</f>
        <v>139.45945945945948</v>
      </c>
      <c r="Q150" s="403"/>
    </row>
    <row r="151" spans="1:17" ht="31.5" x14ac:dyDescent="0.25">
      <c r="A151" s="2">
        <v>1</v>
      </c>
      <c r="B151" s="4" t="s">
        <v>31</v>
      </c>
      <c r="C151" s="4" t="s">
        <v>32</v>
      </c>
      <c r="D151" s="11">
        <v>1021</v>
      </c>
      <c r="E151" s="2">
        <v>1.4</v>
      </c>
      <c r="F151" s="2">
        <v>63</v>
      </c>
      <c r="G151" s="5">
        <f>H151*100/F151</f>
        <v>95.238095238095241</v>
      </c>
      <c r="H151" s="2">
        <v>60</v>
      </c>
      <c r="I151" s="6">
        <f>1/(H151/(10*F151))</f>
        <v>10.5</v>
      </c>
      <c r="J151" s="2">
        <v>0</v>
      </c>
      <c r="K151" s="6">
        <f>I151-(I151/100*J151)</f>
        <v>10.5</v>
      </c>
      <c r="L151" s="7">
        <f>M151/E151</f>
        <v>1353.5714285714287</v>
      </c>
      <c r="M151" s="8">
        <v>1895</v>
      </c>
      <c r="N151" s="9">
        <f>A151/K151</f>
        <v>9.5238095238095233E-2</v>
      </c>
      <c r="O151" s="9">
        <f>E151*N151</f>
        <v>0.1333333333333333</v>
      </c>
      <c r="P151" s="10">
        <f>O151*L151</f>
        <v>180.47619047619045</v>
      </c>
      <c r="Q151" s="403"/>
    </row>
    <row r="152" spans="1:17" ht="15.75" x14ac:dyDescent="0.25">
      <c r="A152" s="2"/>
      <c r="B152" s="363" t="s">
        <v>35</v>
      </c>
      <c r="C152" s="363"/>
      <c r="D152" s="363"/>
      <c r="E152" s="363"/>
      <c r="F152" s="363"/>
      <c r="G152" s="363"/>
      <c r="H152" s="2">
        <f>SUM(H150:H151)</f>
        <v>180</v>
      </c>
      <c r="I152" s="400" t="s">
        <v>216</v>
      </c>
      <c r="J152" s="400"/>
      <c r="K152" s="400"/>
      <c r="L152" s="400"/>
      <c r="M152" s="400"/>
      <c r="N152" s="400"/>
      <c r="O152" s="400"/>
      <c r="P152" s="94">
        <f>P150+P151</f>
        <v>319.93564993564996</v>
      </c>
      <c r="Q152" s="403"/>
    </row>
    <row r="155" spans="1:17" ht="15.75" x14ac:dyDescent="0.25">
      <c r="A155" s="322" t="s">
        <v>0</v>
      </c>
      <c r="B155" s="322" t="s">
        <v>1</v>
      </c>
      <c r="C155" s="322" t="s">
        <v>2</v>
      </c>
      <c r="D155" s="322" t="s">
        <v>3</v>
      </c>
      <c r="E155" s="322" t="s">
        <v>4</v>
      </c>
      <c r="F155" s="322" t="s">
        <v>5</v>
      </c>
      <c r="G155" s="322" t="s">
        <v>6</v>
      </c>
      <c r="H155" s="322"/>
      <c r="I155" s="322" t="s">
        <v>7</v>
      </c>
      <c r="J155" s="322"/>
      <c r="K155" s="322"/>
      <c r="L155" s="322" t="s">
        <v>8</v>
      </c>
      <c r="M155" s="278" t="s">
        <v>9</v>
      </c>
      <c r="N155" s="278" t="s">
        <v>10</v>
      </c>
      <c r="O155" s="278" t="s">
        <v>10</v>
      </c>
      <c r="P155" s="362" t="s">
        <v>12</v>
      </c>
      <c r="Q155" s="401" t="s">
        <v>218</v>
      </c>
    </row>
    <row r="156" spans="1:17" x14ac:dyDescent="0.25">
      <c r="A156" s="322"/>
      <c r="B156" s="322"/>
      <c r="C156" s="322"/>
      <c r="D156" s="322"/>
      <c r="E156" s="322"/>
      <c r="F156" s="322"/>
      <c r="G156" s="322" t="s">
        <v>13</v>
      </c>
      <c r="H156" s="322" t="s">
        <v>14</v>
      </c>
      <c r="I156" s="322" t="s">
        <v>15</v>
      </c>
      <c r="J156" s="322" t="s">
        <v>16</v>
      </c>
      <c r="K156" s="322" t="s">
        <v>17</v>
      </c>
      <c r="L156" s="322"/>
      <c r="M156" s="278"/>
      <c r="N156" s="278"/>
      <c r="O156" s="278"/>
      <c r="P156" s="362"/>
      <c r="Q156" s="402"/>
    </row>
    <row r="157" spans="1:17" x14ac:dyDescent="0.25">
      <c r="A157" s="322"/>
      <c r="B157" s="322"/>
      <c r="C157" s="322"/>
      <c r="D157" s="322"/>
      <c r="E157" s="322"/>
      <c r="F157" s="322"/>
      <c r="G157" s="322"/>
      <c r="H157" s="322"/>
      <c r="I157" s="322"/>
      <c r="J157" s="322"/>
      <c r="K157" s="322"/>
      <c r="L157" s="322"/>
      <c r="M157" s="278"/>
      <c r="N157" s="278"/>
      <c r="O157" s="278"/>
      <c r="P157" s="362"/>
      <c r="Q157" s="402"/>
    </row>
    <row r="158" spans="1:17" ht="15.75" x14ac:dyDescent="0.25">
      <c r="A158" s="2" t="s">
        <v>18</v>
      </c>
      <c r="B158" s="2" t="s">
        <v>19</v>
      </c>
      <c r="C158" s="2"/>
      <c r="D158" s="2" t="s">
        <v>20</v>
      </c>
      <c r="E158" s="2" t="s">
        <v>21</v>
      </c>
      <c r="F158" s="2" t="s">
        <v>22</v>
      </c>
      <c r="G158" s="2" t="s">
        <v>23</v>
      </c>
      <c r="H158" s="2" t="s">
        <v>23</v>
      </c>
      <c r="I158" s="2" t="s">
        <v>24</v>
      </c>
      <c r="J158" s="2" t="s">
        <v>22</v>
      </c>
      <c r="K158" s="2" t="s">
        <v>24</v>
      </c>
      <c r="L158" s="2" t="s">
        <v>25</v>
      </c>
      <c r="M158" s="3" t="s">
        <v>25</v>
      </c>
      <c r="N158" s="3" t="s">
        <v>26</v>
      </c>
      <c r="O158" s="3" t="s">
        <v>27</v>
      </c>
      <c r="P158" s="2" t="s">
        <v>28</v>
      </c>
      <c r="Q158" s="403">
        <f>$P$161/P161*100-100</f>
        <v>0</v>
      </c>
    </row>
    <row r="159" spans="1:17" ht="15.75" x14ac:dyDescent="0.25">
      <c r="A159" s="2">
        <v>1</v>
      </c>
      <c r="B159" s="58" t="s">
        <v>186</v>
      </c>
      <c r="C159" s="4" t="s">
        <v>29</v>
      </c>
      <c r="D159" s="2" t="s">
        <v>30</v>
      </c>
      <c r="E159" s="2">
        <v>1.34</v>
      </c>
      <c r="F159" s="2">
        <v>72</v>
      </c>
      <c r="G159" s="5">
        <f>H159*100/F159</f>
        <v>166.66666666666666</v>
      </c>
      <c r="H159" s="2">
        <v>120</v>
      </c>
      <c r="I159" s="6">
        <f>1/(H159/(10*F159))</f>
        <v>6</v>
      </c>
      <c r="J159" s="2">
        <v>0</v>
      </c>
      <c r="K159" s="6">
        <f>I159-(I159/100*J159)</f>
        <v>6</v>
      </c>
      <c r="L159" s="7">
        <v>628</v>
      </c>
      <c r="M159" s="8">
        <f>L159*E159</f>
        <v>841.5200000000001</v>
      </c>
      <c r="N159" s="9">
        <f>A159/K159</f>
        <v>0.16666666666666666</v>
      </c>
      <c r="O159" s="8">
        <f>E159*N159</f>
        <v>0.22333333333333333</v>
      </c>
      <c r="P159" s="10">
        <f>O159*L159</f>
        <v>140.25333333333333</v>
      </c>
      <c r="Q159" s="403"/>
    </row>
    <row r="160" spans="1:17" ht="15.75" x14ac:dyDescent="0.25">
      <c r="A160" s="2">
        <v>1</v>
      </c>
      <c r="B160" s="58" t="s">
        <v>187</v>
      </c>
      <c r="C160" s="4" t="s">
        <v>32</v>
      </c>
      <c r="D160" s="11">
        <v>6024</v>
      </c>
      <c r="E160" s="2">
        <v>1.4</v>
      </c>
      <c r="F160" s="2">
        <v>54</v>
      </c>
      <c r="G160" s="5">
        <f>H160*100/F160</f>
        <v>111.11111111111111</v>
      </c>
      <c r="H160" s="2">
        <v>60</v>
      </c>
      <c r="I160" s="6">
        <f>1/(H160/(10*F160))</f>
        <v>9</v>
      </c>
      <c r="J160" s="2">
        <v>0</v>
      </c>
      <c r="K160" s="6">
        <f>I160-(I160/100*J160)</f>
        <v>9</v>
      </c>
      <c r="L160" s="7">
        <v>1020</v>
      </c>
      <c r="M160" s="8">
        <f>L160*E160</f>
        <v>1428</v>
      </c>
      <c r="N160" s="9">
        <f>A160/K160</f>
        <v>0.1111111111111111</v>
      </c>
      <c r="O160" s="9">
        <f>E160*N160</f>
        <v>0.15555555555555553</v>
      </c>
      <c r="P160" s="10">
        <f>O160*L160</f>
        <v>158.66666666666663</v>
      </c>
      <c r="Q160" s="403"/>
    </row>
    <row r="161" spans="1:17" ht="15" customHeight="1" x14ac:dyDescent="0.25">
      <c r="A161" s="2"/>
      <c r="B161" s="363" t="s">
        <v>35</v>
      </c>
      <c r="C161" s="363"/>
      <c r="D161" s="363"/>
      <c r="E161" s="363"/>
      <c r="F161" s="363"/>
      <c r="G161" s="363"/>
      <c r="H161" s="2">
        <f>SUM(H159:H160)</f>
        <v>180</v>
      </c>
      <c r="I161" s="399" t="s">
        <v>216</v>
      </c>
      <c r="J161" s="399"/>
      <c r="K161" s="399"/>
      <c r="L161" s="399"/>
      <c r="M161" s="399"/>
      <c r="N161" s="399"/>
      <c r="O161" s="399"/>
      <c r="P161" s="95">
        <f>P159+P160</f>
        <v>298.91999999999996</v>
      </c>
      <c r="Q161" s="403"/>
    </row>
    <row r="162" spans="1:17" x14ac:dyDescent="0.25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</row>
    <row r="163" spans="1:17" ht="15.75" x14ac:dyDescent="0.25">
      <c r="A163" s="278" t="s">
        <v>0</v>
      </c>
      <c r="B163" s="278" t="s">
        <v>1</v>
      </c>
      <c r="C163" s="278" t="s">
        <v>2</v>
      </c>
      <c r="D163" s="278" t="s">
        <v>3</v>
      </c>
      <c r="E163" s="278" t="s">
        <v>4</v>
      </c>
      <c r="F163" s="278" t="s">
        <v>5</v>
      </c>
      <c r="G163" s="278" t="s">
        <v>6</v>
      </c>
      <c r="H163" s="278"/>
      <c r="I163" s="278"/>
      <c r="J163" s="278"/>
      <c r="K163" s="278"/>
      <c r="L163" s="278" t="s">
        <v>8</v>
      </c>
      <c r="M163" s="278" t="s">
        <v>9</v>
      </c>
      <c r="N163" s="278" t="s">
        <v>10</v>
      </c>
      <c r="O163" s="278" t="s">
        <v>10</v>
      </c>
      <c r="P163" s="362" t="s">
        <v>12</v>
      </c>
      <c r="Q163" s="401" t="s">
        <v>218</v>
      </c>
    </row>
    <row r="164" spans="1:17" x14ac:dyDescent="0.25">
      <c r="A164" s="278"/>
      <c r="B164" s="278"/>
      <c r="C164" s="278"/>
      <c r="D164" s="278"/>
      <c r="E164" s="278"/>
      <c r="F164" s="278"/>
      <c r="G164" s="278" t="s">
        <v>13</v>
      </c>
      <c r="H164" s="278" t="s">
        <v>14</v>
      </c>
      <c r="I164" s="278" t="s">
        <v>15</v>
      </c>
      <c r="J164" s="278" t="s">
        <v>16</v>
      </c>
      <c r="K164" s="278" t="s">
        <v>17</v>
      </c>
      <c r="L164" s="278"/>
      <c r="M164" s="278"/>
      <c r="N164" s="278"/>
      <c r="O164" s="278"/>
      <c r="P164" s="362"/>
      <c r="Q164" s="402"/>
    </row>
    <row r="165" spans="1:17" x14ac:dyDescent="0.25">
      <c r="A165" s="278"/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278"/>
      <c r="O165" s="278"/>
      <c r="P165" s="362"/>
      <c r="Q165" s="402"/>
    </row>
    <row r="166" spans="1:17" ht="15.75" x14ac:dyDescent="0.25">
      <c r="A166" s="3" t="s">
        <v>18</v>
      </c>
      <c r="B166" s="3" t="s">
        <v>19</v>
      </c>
      <c r="C166" s="3"/>
      <c r="D166" s="3" t="s">
        <v>20</v>
      </c>
      <c r="E166" s="3" t="s">
        <v>21</v>
      </c>
      <c r="F166" s="3" t="s">
        <v>22</v>
      </c>
      <c r="G166" s="3" t="s">
        <v>23</v>
      </c>
      <c r="H166" s="3" t="s">
        <v>23</v>
      </c>
      <c r="I166" s="3" t="s">
        <v>24</v>
      </c>
      <c r="J166" s="3" t="s">
        <v>22</v>
      </c>
      <c r="K166" s="3" t="s">
        <v>24</v>
      </c>
      <c r="L166" s="3" t="s">
        <v>25</v>
      </c>
      <c r="M166" s="3" t="s">
        <v>25</v>
      </c>
      <c r="N166" s="3" t="s">
        <v>26</v>
      </c>
      <c r="O166" s="3" t="s">
        <v>27</v>
      </c>
      <c r="P166" s="2" t="s">
        <v>28</v>
      </c>
      <c r="Q166" s="403">
        <f>$P$161/P169*100-100</f>
        <v>18.786712243139576</v>
      </c>
    </row>
    <row r="167" spans="1:17" ht="31.5" x14ac:dyDescent="0.25">
      <c r="A167" s="3">
        <v>1</v>
      </c>
      <c r="B167" s="12" t="s">
        <v>42</v>
      </c>
      <c r="C167" s="12" t="s">
        <v>29</v>
      </c>
      <c r="D167" s="3" t="s">
        <v>30</v>
      </c>
      <c r="E167" s="3">
        <v>1.4</v>
      </c>
      <c r="F167" s="3">
        <v>73</v>
      </c>
      <c r="G167" s="16">
        <f>H167*(100)/F167</f>
        <v>164.38356164383561</v>
      </c>
      <c r="H167" s="3">
        <v>120</v>
      </c>
      <c r="I167" s="17">
        <f>1/(H167/(10*F167))</f>
        <v>6.0833333333333339</v>
      </c>
      <c r="J167" s="3">
        <v>0</v>
      </c>
      <c r="K167" s="17">
        <f>I167-(I167/100*J167)</f>
        <v>6.0833333333333339</v>
      </c>
      <c r="L167" s="8">
        <v>550</v>
      </c>
      <c r="M167" s="8">
        <f>E167*L167</f>
        <v>770</v>
      </c>
      <c r="N167" s="9">
        <f>A167/K167</f>
        <v>0.16438356164383561</v>
      </c>
      <c r="O167" s="9">
        <f>E167*N167</f>
        <v>0.23013698630136983</v>
      </c>
      <c r="P167" s="10">
        <f>O167*L167</f>
        <v>126.57534246575341</v>
      </c>
      <c r="Q167" s="403"/>
    </row>
    <row r="168" spans="1:17" ht="31.5" x14ac:dyDescent="0.25">
      <c r="A168" s="3">
        <v>1</v>
      </c>
      <c r="B168" s="12" t="s">
        <v>43</v>
      </c>
      <c r="C168" s="12" t="s">
        <v>32</v>
      </c>
      <c r="D168" s="19">
        <v>6024</v>
      </c>
      <c r="E168" s="3">
        <v>1.3</v>
      </c>
      <c r="F168" s="3">
        <v>58</v>
      </c>
      <c r="G168" s="16">
        <f>H168*100/F168</f>
        <v>103.44827586206897</v>
      </c>
      <c r="H168" s="3">
        <v>60</v>
      </c>
      <c r="I168" s="17">
        <f>1/(H168/(10*F168))</f>
        <v>9.6666666666666661</v>
      </c>
      <c r="J168" s="3">
        <v>0</v>
      </c>
      <c r="K168" s="17">
        <f>I168-(I168/100*J168)</f>
        <v>9.6666666666666661</v>
      </c>
      <c r="L168" s="8">
        <v>930</v>
      </c>
      <c r="M168" s="8">
        <f>E168*L168</f>
        <v>1209</v>
      </c>
      <c r="N168" s="9">
        <f>A168/K168</f>
        <v>0.10344827586206898</v>
      </c>
      <c r="O168" s="9">
        <f>E168*N168</f>
        <v>0.13448275862068967</v>
      </c>
      <c r="P168" s="10">
        <f>O168*L168</f>
        <v>125.06896551724139</v>
      </c>
      <c r="Q168" s="403"/>
    </row>
    <row r="169" spans="1:17" ht="15.75" x14ac:dyDescent="0.25">
      <c r="A169" s="3"/>
      <c r="B169" s="335" t="s">
        <v>35</v>
      </c>
      <c r="C169" s="335"/>
      <c r="D169" s="335"/>
      <c r="E169" s="335"/>
      <c r="F169" s="335"/>
      <c r="G169" s="335"/>
      <c r="H169" s="3">
        <f>SUM(H167:H168)</f>
        <v>180</v>
      </c>
      <c r="I169" s="400" t="s">
        <v>216</v>
      </c>
      <c r="J169" s="400"/>
      <c r="K169" s="400"/>
      <c r="L169" s="400"/>
      <c r="M169" s="400"/>
      <c r="N169" s="400"/>
      <c r="O169" s="400"/>
      <c r="P169" s="94">
        <f>P167+P168</f>
        <v>251.6443079829948</v>
      </c>
      <c r="Q169" s="403"/>
    </row>
    <row r="170" spans="1:17" x14ac:dyDescent="0.25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</row>
    <row r="171" spans="1:17" ht="15.75" x14ac:dyDescent="0.25">
      <c r="A171" s="322" t="s">
        <v>0</v>
      </c>
      <c r="B171" s="322" t="s">
        <v>1</v>
      </c>
      <c r="C171" s="322" t="s">
        <v>2</v>
      </c>
      <c r="D171" s="322" t="s">
        <v>3</v>
      </c>
      <c r="E171" s="322" t="s">
        <v>4</v>
      </c>
      <c r="F171" s="322" t="s">
        <v>5</v>
      </c>
      <c r="G171" s="322" t="s">
        <v>6</v>
      </c>
      <c r="H171" s="322"/>
      <c r="I171" s="322" t="s">
        <v>7</v>
      </c>
      <c r="J171" s="322"/>
      <c r="K171" s="322"/>
      <c r="L171" s="322" t="s">
        <v>8</v>
      </c>
      <c r="M171" s="278" t="s">
        <v>9</v>
      </c>
      <c r="N171" s="278" t="s">
        <v>10</v>
      </c>
      <c r="O171" s="278" t="s">
        <v>11</v>
      </c>
      <c r="P171" s="362" t="s">
        <v>12</v>
      </c>
      <c r="Q171" s="401" t="s">
        <v>218</v>
      </c>
    </row>
    <row r="172" spans="1:17" x14ac:dyDescent="0.25">
      <c r="A172" s="322"/>
      <c r="B172" s="322"/>
      <c r="C172" s="322"/>
      <c r="D172" s="322"/>
      <c r="E172" s="322"/>
      <c r="F172" s="322"/>
      <c r="G172" s="322" t="s">
        <v>13</v>
      </c>
      <c r="H172" s="322" t="s">
        <v>14</v>
      </c>
      <c r="I172" s="322" t="s">
        <v>15</v>
      </c>
      <c r="J172" s="322" t="s">
        <v>16</v>
      </c>
      <c r="K172" s="322" t="s">
        <v>17</v>
      </c>
      <c r="L172" s="322"/>
      <c r="M172" s="278"/>
      <c r="N172" s="278"/>
      <c r="O172" s="278"/>
      <c r="P172" s="362"/>
      <c r="Q172" s="402"/>
    </row>
    <row r="173" spans="1:17" x14ac:dyDescent="0.25">
      <c r="A173" s="322"/>
      <c r="B173" s="322"/>
      <c r="C173" s="322"/>
      <c r="D173" s="322"/>
      <c r="E173" s="322"/>
      <c r="F173" s="322"/>
      <c r="G173" s="322"/>
      <c r="H173" s="322"/>
      <c r="I173" s="322"/>
      <c r="J173" s="322"/>
      <c r="K173" s="322"/>
      <c r="L173" s="322"/>
      <c r="M173" s="278"/>
      <c r="N173" s="278"/>
      <c r="O173" s="278"/>
      <c r="P173" s="362"/>
      <c r="Q173" s="402"/>
    </row>
    <row r="174" spans="1:17" ht="15.75" x14ac:dyDescent="0.25">
      <c r="A174" s="2" t="s">
        <v>18</v>
      </c>
      <c r="B174" s="2" t="s">
        <v>19</v>
      </c>
      <c r="C174" s="2"/>
      <c r="D174" s="2" t="s">
        <v>20</v>
      </c>
      <c r="E174" s="2" t="s">
        <v>21</v>
      </c>
      <c r="F174" s="2" t="s">
        <v>22</v>
      </c>
      <c r="G174" s="2" t="s">
        <v>23</v>
      </c>
      <c r="H174" s="2" t="s">
        <v>23</v>
      </c>
      <c r="I174" s="2" t="s">
        <v>24</v>
      </c>
      <c r="J174" s="2" t="s">
        <v>22</v>
      </c>
      <c r="K174" s="2" t="s">
        <v>24</v>
      </c>
      <c r="L174" s="2" t="s">
        <v>25</v>
      </c>
      <c r="M174" s="3" t="s">
        <v>25</v>
      </c>
      <c r="N174" s="3" t="s">
        <v>26</v>
      </c>
      <c r="O174" s="3" t="s">
        <v>27</v>
      </c>
      <c r="P174" s="2" t="s">
        <v>28</v>
      </c>
      <c r="Q174" s="403">
        <f>$P$161/P177*100-100</f>
        <v>10.231910470712194</v>
      </c>
    </row>
    <row r="175" spans="1:17" ht="31.5" x14ac:dyDescent="0.25">
      <c r="A175" s="2">
        <v>1</v>
      </c>
      <c r="B175" s="4" t="s">
        <v>65</v>
      </c>
      <c r="C175" s="4" t="s">
        <v>29</v>
      </c>
      <c r="D175" s="2" t="s">
        <v>30</v>
      </c>
      <c r="E175" s="2">
        <v>1.6</v>
      </c>
      <c r="F175" s="2">
        <v>74</v>
      </c>
      <c r="G175" s="5">
        <f>H175*100/F175</f>
        <v>162.16216216216216</v>
      </c>
      <c r="H175" s="2">
        <v>120</v>
      </c>
      <c r="I175" s="6">
        <f>1/(H175/(10*F175))</f>
        <v>6.1666666666666661</v>
      </c>
      <c r="J175" s="2">
        <v>0</v>
      </c>
      <c r="K175" s="6">
        <f>I175-(I175/100*J175)</f>
        <v>6.1666666666666661</v>
      </c>
      <c r="L175" s="7">
        <f>M175/E175</f>
        <v>537.5</v>
      </c>
      <c r="M175" s="8">
        <v>860</v>
      </c>
      <c r="N175" s="9">
        <f>A175/K175</f>
        <v>0.16216216216216217</v>
      </c>
      <c r="O175" s="8">
        <f>E175*N175</f>
        <v>0.25945945945945947</v>
      </c>
      <c r="P175" s="10">
        <f>O175*L175</f>
        <v>139.45945945945948</v>
      </c>
      <c r="Q175" s="403"/>
    </row>
    <row r="176" spans="1:17" ht="31.5" x14ac:dyDescent="0.25">
      <c r="A176" s="2">
        <v>1</v>
      </c>
      <c r="B176" s="4" t="s">
        <v>31</v>
      </c>
      <c r="C176" s="4" t="s">
        <v>32</v>
      </c>
      <c r="D176" s="11">
        <v>6024</v>
      </c>
      <c r="E176" s="2">
        <v>1.4</v>
      </c>
      <c r="F176" s="2">
        <v>63</v>
      </c>
      <c r="G176" s="5">
        <f>H176*100/F176</f>
        <v>95.238095238095241</v>
      </c>
      <c r="H176" s="2">
        <v>60</v>
      </c>
      <c r="I176" s="6">
        <f>1/(H176/(10*F176))</f>
        <v>10.5</v>
      </c>
      <c r="J176" s="2">
        <v>0</v>
      </c>
      <c r="K176" s="6">
        <f>I176-(I176/100*J176)</f>
        <v>10.5</v>
      </c>
      <c r="L176" s="7">
        <f>M176/E176</f>
        <v>987.85714285714289</v>
      </c>
      <c r="M176" s="8">
        <v>1383</v>
      </c>
      <c r="N176" s="9">
        <f>A176/K176</f>
        <v>9.5238095238095233E-2</v>
      </c>
      <c r="O176" s="9">
        <f>E176*N176</f>
        <v>0.1333333333333333</v>
      </c>
      <c r="P176" s="10">
        <f>O176*L176</f>
        <v>131.71428571428569</v>
      </c>
      <c r="Q176" s="403"/>
    </row>
    <row r="177" spans="1:17" ht="15.75" x14ac:dyDescent="0.25">
      <c r="A177" s="2"/>
      <c r="B177" s="363" t="s">
        <v>35</v>
      </c>
      <c r="C177" s="363"/>
      <c r="D177" s="363"/>
      <c r="E177" s="363"/>
      <c r="F177" s="363"/>
      <c r="G177" s="363"/>
      <c r="H177" s="2">
        <f>SUM(H175:H176)</f>
        <v>180</v>
      </c>
      <c r="I177" s="400" t="s">
        <v>216</v>
      </c>
      <c r="J177" s="400"/>
      <c r="K177" s="400"/>
      <c r="L177" s="400"/>
      <c r="M177" s="400"/>
      <c r="N177" s="400"/>
      <c r="O177" s="400"/>
      <c r="P177" s="94">
        <f>P175+P176</f>
        <v>271.17374517374515</v>
      </c>
      <c r="Q177" s="403"/>
    </row>
  </sheetData>
  <mergeCells count="462">
    <mergeCell ref="Q163:Q165"/>
    <mergeCell ref="Q166:Q169"/>
    <mergeCell ref="Q171:Q173"/>
    <mergeCell ref="Q174:Q177"/>
    <mergeCell ref="Q138:Q140"/>
    <mergeCell ref="Q141:Q144"/>
    <mergeCell ref="Q146:Q148"/>
    <mergeCell ref="Q149:Q152"/>
    <mergeCell ref="Q155:Q157"/>
    <mergeCell ref="Q158:Q161"/>
    <mergeCell ref="Q113:Q115"/>
    <mergeCell ref="Q116:Q119"/>
    <mergeCell ref="Q121:Q123"/>
    <mergeCell ref="Q124:Q127"/>
    <mergeCell ref="Q130:Q132"/>
    <mergeCell ref="Q133:Q136"/>
    <mergeCell ref="Q88:Q90"/>
    <mergeCell ref="Q91:Q94"/>
    <mergeCell ref="Q96:Q98"/>
    <mergeCell ref="Q99:Q102"/>
    <mergeCell ref="Q105:Q107"/>
    <mergeCell ref="Q108:Q111"/>
    <mergeCell ref="Q61:Q63"/>
    <mergeCell ref="Q64:Q67"/>
    <mergeCell ref="Q69:Q71"/>
    <mergeCell ref="Q72:Q75"/>
    <mergeCell ref="Q80:Q82"/>
    <mergeCell ref="Q83:Q86"/>
    <mergeCell ref="Q35:Q37"/>
    <mergeCell ref="Q38:Q41"/>
    <mergeCell ref="Q43:Q45"/>
    <mergeCell ref="Q46:Q49"/>
    <mergeCell ref="Q53:Q55"/>
    <mergeCell ref="Q56:Q59"/>
    <mergeCell ref="B177:G177"/>
    <mergeCell ref="I177:O177"/>
    <mergeCell ref="Q1:Q3"/>
    <mergeCell ref="Q4:Q7"/>
    <mergeCell ref="Q9:Q11"/>
    <mergeCell ref="Q12:Q15"/>
    <mergeCell ref="Q17:Q19"/>
    <mergeCell ref="Q20:Q23"/>
    <mergeCell ref="Q27:Q29"/>
    <mergeCell ref="Q30:Q33"/>
    <mergeCell ref="L171:L173"/>
    <mergeCell ref="M171:M173"/>
    <mergeCell ref="N171:N173"/>
    <mergeCell ref="O171:O173"/>
    <mergeCell ref="P171:P173"/>
    <mergeCell ref="G172:G173"/>
    <mergeCell ref="H172:H173"/>
    <mergeCell ref="I172:I173"/>
    <mergeCell ref="J172:J173"/>
    <mergeCell ref="K172:K173"/>
    <mergeCell ref="B169:G169"/>
    <mergeCell ref="I169:O169"/>
    <mergeCell ref="M163:M165"/>
    <mergeCell ref="N163:N165"/>
    <mergeCell ref="A171:A173"/>
    <mergeCell ref="B171:B173"/>
    <mergeCell ref="C171:C173"/>
    <mergeCell ref="D171:D173"/>
    <mergeCell ref="E171:E173"/>
    <mergeCell ref="F171:F173"/>
    <mergeCell ref="G171:H171"/>
    <mergeCell ref="I171:K171"/>
    <mergeCell ref="L163:L165"/>
    <mergeCell ref="A163:A165"/>
    <mergeCell ref="O163:O165"/>
    <mergeCell ref="P163:P165"/>
    <mergeCell ref="G164:G165"/>
    <mergeCell ref="H164:H165"/>
    <mergeCell ref="I164:I165"/>
    <mergeCell ref="J164:J165"/>
    <mergeCell ref="K164:K165"/>
    <mergeCell ref="B161:G161"/>
    <mergeCell ref="I161:O161"/>
    <mergeCell ref="B163:B165"/>
    <mergeCell ref="C163:C165"/>
    <mergeCell ref="D163:D165"/>
    <mergeCell ref="E163:E165"/>
    <mergeCell ref="F163:F165"/>
    <mergeCell ref="G163:H163"/>
    <mergeCell ref="I163:K163"/>
    <mergeCell ref="O155:O157"/>
    <mergeCell ref="P155:P157"/>
    <mergeCell ref="G156:G157"/>
    <mergeCell ref="H156:H157"/>
    <mergeCell ref="I156:I157"/>
    <mergeCell ref="J156:J157"/>
    <mergeCell ref="K156:K157"/>
    <mergeCell ref="F155:F157"/>
    <mergeCell ref="G155:H155"/>
    <mergeCell ref="I155:K155"/>
    <mergeCell ref="L155:L157"/>
    <mergeCell ref="M155:M157"/>
    <mergeCell ref="N155:N157"/>
    <mergeCell ref="P113:P115"/>
    <mergeCell ref="P121:P123"/>
    <mergeCell ref="P130:P132"/>
    <mergeCell ref="P138:P140"/>
    <mergeCell ref="P146:P148"/>
    <mergeCell ref="A155:A157"/>
    <mergeCell ref="B155:B157"/>
    <mergeCell ref="C155:C157"/>
    <mergeCell ref="D155:D157"/>
    <mergeCell ref="E155:E157"/>
    <mergeCell ref="B144:G144"/>
    <mergeCell ref="I144:O144"/>
    <mergeCell ref="A146:A148"/>
    <mergeCell ref="B146:B148"/>
    <mergeCell ref="C146:C148"/>
    <mergeCell ref="D146:D148"/>
    <mergeCell ref="E146:E148"/>
    <mergeCell ref="F146:F148"/>
    <mergeCell ref="G146:H146"/>
    <mergeCell ref="I146:K146"/>
    <mergeCell ref="L138:L140"/>
    <mergeCell ref="M138:M140"/>
    <mergeCell ref="N138:N140"/>
    <mergeCell ref="O138:O140"/>
    <mergeCell ref="P61:P63"/>
    <mergeCell ref="P69:P71"/>
    <mergeCell ref="P80:P82"/>
    <mergeCell ref="P88:P90"/>
    <mergeCell ref="P96:P98"/>
    <mergeCell ref="P105:P107"/>
    <mergeCell ref="B152:G152"/>
    <mergeCell ref="I152:O152"/>
    <mergeCell ref="P1:P3"/>
    <mergeCell ref="P9:P11"/>
    <mergeCell ref="P17:P19"/>
    <mergeCell ref="P27:P29"/>
    <mergeCell ref="P35:P37"/>
    <mergeCell ref="P43:P45"/>
    <mergeCell ref="P53:P55"/>
    <mergeCell ref="L146:L148"/>
    <mergeCell ref="M146:M148"/>
    <mergeCell ref="N146:N148"/>
    <mergeCell ref="O146:O148"/>
    <mergeCell ref="G147:G148"/>
    <mergeCell ref="H147:H148"/>
    <mergeCell ref="I147:I148"/>
    <mergeCell ref="J147:J148"/>
    <mergeCell ref="K147:K148"/>
    <mergeCell ref="G139:G140"/>
    <mergeCell ref="H139:H140"/>
    <mergeCell ref="I139:I140"/>
    <mergeCell ref="J139:J140"/>
    <mergeCell ref="K139:K140"/>
    <mergeCell ref="B136:G136"/>
    <mergeCell ref="I136:O136"/>
    <mergeCell ref="A138:A140"/>
    <mergeCell ref="B138:B140"/>
    <mergeCell ref="C138:C140"/>
    <mergeCell ref="D138:D140"/>
    <mergeCell ref="E138:E140"/>
    <mergeCell ref="F138:F140"/>
    <mergeCell ref="G138:H138"/>
    <mergeCell ref="I138:K138"/>
    <mergeCell ref="B127:G127"/>
    <mergeCell ref="I127:O127"/>
    <mergeCell ref="A130:A132"/>
    <mergeCell ref="B130:B132"/>
    <mergeCell ref="C130:C132"/>
    <mergeCell ref="D130:D132"/>
    <mergeCell ref="E130:E132"/>
    <mergeCell ref="F130:F132"/>
    <mergeCell ref="G130:H130"/>
    <mergeCell ref="I130:K130"/>
    <mergeCell ref="L130:L132"/>
    <mergeCell ref="M130:M132"/>
    <mergeCell ref="N130:N132"/>
    <mergeCell ref="O130:O132"/>
    <mergeCell ref="G131:G132"/>
    <mergeCell ref="H131:H132"/>
    <mergeCell ref="I131:I132"/>
    <mergeCell ref="J131:J132"/>
    <mergeCell ref="K131:K132"/>
    <mergeCell ref="B119:G119"/>
    <mergeCell ref="I119:O119"/>
    <mergeCell ref="A121:A123"/>
    <mergeCell ref="B121:B123"/>
    <mergeCell ref="C121:C123"/>
    <mergeCell ref="D121:D123"/>
    <mergeCell ref="E121:E123"/>
    <mergeCell ref="F121:F123"/>
    <mergeCell ref="G121:H121"/>
    <mergeCell ref="I121:K121"/>
    <mergeCell ref="L121:L123"/>
    <mergeCell ref="M121:M123"/>
    <mergeCell ref="N121:N123"/>
    <mergeCell ref="O121:O123"/>
    <mergeCell ref="G122:G123"/>
    <mergeCell ref="H122:H123"/>
    <mergeCell ref="I122:I123"/>
    <mergeCell ref="J122:J123"/>
    <mergeCell ref="K122:K123"/>
    <mergeCell ref="B102:G102"/>
    <mergeCell ref="I102:O102"/>
    <mergeCell ref="A113:A115"/>
    <mergeCell ref="B113:B115"/>
    <mergeCell ref="C113:C115"/>
    <mergeCell ref="D113:D115"/>
    <mergeCell ref="E113:E115"/>
    <mergeCell ref="F113:F115"/>
    <mergeCell ref="G113:H113"/>
    <mergeCell ref="I113:K113"/>
    <mergeCell ref="B111:G111"/>
    <mergeCell ref="I111:O111"/>
    <mergeCell ref="M105:M107"/>
    <mergeCell ref="N105:N107"/>
    <mergeCell ref="O105:O107"/>
    <mergeCell ref="L113:L115"/>
    <mergeCell ref="M113:M115"/>
    <mergeCell ref="N113:N115"/>
    <mergeCell ref="O113:O115"/>
    <mergeCell ref="G114:G115"/>
    <mergeCell ref="H114:H115"/>
    <mergeCell ref="I114:I115"/>
    <mergeCell ref="J114:J115"/>
    <mergeCell ref="K114:K115"/>
    <mergeCell ref="B94:G94"/>
    <mergeCell ref="I94:O94"/>
    <mergeCell ref="A96:A98"/>
    <mergeCell ref="B96:B98"/>
    <mergeCell ref="C96:C98"/>
    <mergeCell ref="D96:D98"/>
    <mergeCell ref="E96:E98"/>
    <mergeCell ref="F96:F98"/>
    <mergeCell ref="G96:H96"/>
    <mergeCell ref="I96:K96"/>
    <mergeCell ref="L96:L98"/>
    <mergeCell ref="M96:M98"/>
    <mergeCell ref="N96:N98"/>
    <mergeCell ref="O96:O98"/>
    <mergeCell ref="G97:G98"/>
    <mergeCell ref="H97:H98"/>
    <mergeCell ref="I97:I98"/>
    <mergeCell ref="J97:J98"/>
    <mergeCell ref="K97:K98"/>
    <mergeCell ref="L88:L90"/>
    <mergeCell ref="M88:M90"/>
    <mergeCell ref="N88:N90"/>
    <mergeCell ref="O88:O90"/>
    <mergeCell ref="G89:G90"/>
    <mergeCell ref="H89:H90"/>
    <mergeCell ref="I89:I90"/>
    <mergeCell ref="J89:J90"/>
    <mergeCell ref="K89:K90"/>
    <mergeCell ref="B75:G75"/>
    <mergeCell ref="I75:O75"/>
    <mergeCell ref="A88:A90"/>
    <mergeCell ref="B88:B90"/>
    <mergeCell ref="C88:C90"/>
    <mergeCell ref="D88:D90"/>
    <mergeCell ref="E88:E90"/>
    <mergeCell ref="F88:F90"/>
    <mergeCell ref="G88:H88"/>
    <mergeCell ref="I88:K88"/>
    <mergeCell ref="L80:L82"/>
    <mergeCell ref="M80:M82"/>
    <mergeCell ref="N80:N82"/>
    <mergeCell ref="O80:O82"/>
    <mergeCell ref="G81:G82"/>
    <mergeCell ref="H81:H82"/>
    <mergeCell ref="I81:I82"/>
    <mergeCell ref="J81:J82"/>
    <mergeCell ref="K81:K82"/>
    <mergeCell ref="A80:A82"/>
    <mergeCell ref="B80:B82"/>
    <mergeCell ref="C80:C82"/>
    <mergeCell ref="D80:D82"/>
    <mergeCell ref="E80:E82"/>
    <mergeCell ref="B67:G67"/>
    <mergeCell ref="I67:O67"/>
    <mergeCell ref="A69:A71"/>
    <mergeCell ref="B69:B71"/>
    <mergeCell ref="C69:C71"/>
    <mergeCell ref="D69:D71"/>
    <mergeCell ref="E69:E71"/>
    <mergeCell ref="F69:F71"/>
    <mergeCell ref="G69:H69"/>
    <mergeCell ref="I69:K69"/>
    <mergeCell ref="L69:L71"/>
    <mergeCell ref="M69:M71"/>
    <mergeCell ref="N69:N71"/>
    <mergeCell ref="O69:O71"/>
    <mergeCell ref="G70:G71"/>
    <mergeCell ref="H70:H71"/>
    <mergeCell ref="I70:I71"/>
    <mergeCell ref="J70:J71"/>
    <mergeCell ref="K70:K71"/>
    <mergeCell ref="A61:A63"/>
    <mergeCell ref="B61:B63"/>
    <mergeCell ref="C61:C63"/>
    <mergeCell ref="D61:D63"/>
    <mergeCell ref="E61:E63"/>
    <mergeCell ref="F61:F63"/>
    <mergeCell ref="G61:H61"/>
    <mergeCell ref="I61:K61"/>
    <mergeCell ref="B59:G59"/>
    <mergeCell ref="I59:O59"/>
    <mergeCell ref="L61:L63"/>
    <mergeCell ref="M61:M63"/>
    <mergeCell ref="N61:N63"/>
    <mergeCell ref="O61:O63"/>
    <mergeCell ref="G62:G63"/>
    <mergeCell ref="H62:H63"/>
    <mergeCell ref="I62:I63"/>
    <mergeCell ref="J62:J63"/>
    <mergeCell ref="K62:K63"/>
    <mergeCell ref="N43:N45"/>
    <mergeCell ref="O43:O45"/>
    <mergeCell ref="G44:G45"/>
    <mergeCell ref="H44:H45"/>
    <mergeCell ref="I44:I45"/>
    <mergeCell ref="J44:J45"/>
    <mergeCell ref="K44:K45"/>
    <mergeCell ref="B49:G49"/>
    <mergeCell ref="I49:O49"/>
    <mergeCell ref="A35:A37"/>
    <mergeCell ref="B35:B37"/>
    <mergeCell ref="C35:C37"/>
    <mergeCell ref="D35:D37"/>
    <mergeCell ref="E35:E37"/>
    <mergeCell ref="F35:F37"/>
    <mergeCell ref="I43:K43"/>
    <mergeCell ref="L43:L45"/>
    <mergeCell ref="M43:M45"/>
    <mergeCell ref="B23:G23"/>
    <mergeCell ref="I23:O23"/>
    <mergeCell ref="A17:A19"/>
    <mergeCell ref="B17:B19"/>
    <mergeCell ref="C17:C19"/>
    <mergeCell ref="D17:D19"/>
    <mergeCell ref="E17:E19"/>
    <mergeCell ref="F17:F19"/>
    <mergeCell ref="G17:H17"/>
    <mergeCell ref="I17:K17"/>
    <mergeCell ref="L17:L19"/>
    <mergeCell ref="M17:M19"/>
    <mergeCell ref="N17:N19"/>
    <mergeCell ref="O17:O19"/>
    <mergeCell ref="G18:G19"/>
    <mergeCell ref="H18:H19"/>
    <mergeCell ref="I18:I19"/>
    <mergeCell ref="J18:J19"/>
    <mergeCell ref="K18:K19"/>
    <mergeCell ref="B15:G15"/>
    <mergeCell ref="I15:O15"/>
    <mergeCell ref="L9:L11"/>
    <mergeCell ref="M9:M11"/>
    <mergeCell ref="N9:N11"/>
    <mergeCell ref="O9:O11"/>
    <mergeCell ref="G10:G11"/>
    <mergeCell ref="H10:H11"/>
    <mergeCell ref="I10:I11"/>
    <mergeCell ref="J10:J11"/>
    <mergeCell ref="K10:K11"/>
    <mergeCell ref="A9:A11"/>
    <mergeCell ref="B9:B11"/>
    <mergeCell ref="C9:C11"/>
    <mergeCell ref="D9:D11"/>
    <mergeCell ref="E9:E11"/>
    <mergeCell ref="F9:F11"/>
    <mergeCell ref="G9:H9"/>
    <mergeCell ref="I9:K9"/>
    <mergeCell ref="L105:L107"/>
    <mergeCell ref="G106:G107"/>
    <mergeCell ref="H106:H107"/>
    <mergeCell ref="I106:I107"/>
    <mergeCell ref="J106:J107"/>
    <mergeCell ref="K106:K107"/>
    <mergeCell ref="B86:G86"/>
    <mergeCell ref="I86:O86"/>
    <mergeCell ref="A105:A107"/>
    <mergeCell ref="B105:B107"/>
    <mergeCell ref="C105:C107"/>
    <mergeCell ref="D105:D107"/>
    <mergeCell ref="E105:E107"/>
    <mergeCell ref="F105:F107"/>
    <mergeCell ref="G105:H105"/>
    <mergeCell ref="I105:K105"/>
    <mergeCell ref="A27:A29"/>
    <mergeCell ref="B27:B29"/>
    <mergeCell ref="C27:C29"/>
    <mergeCell ref="D27:D29"/>
    <mergeCell ref="E27:E29"/>
    <mergeCell ref="F27:F29"/>
    <mergeCell ref="F80:F82"/>
    <mergeCell ref="G80:H80"/>
    <mergeCell ref="I80:K80"/>
    <mergeCell ref="I53:K53"/>
    <mergeCell ref="G54:G55"/>
    <mergeCell ref="H54:H55"/>
    <mergeCell ref="I54:I55"/>
    <mergeCell ref="J54:J55"/>
    <mergeCell ref="K54:K55"/>
    <mergeCell ref="G35:H35"/>
    <mergeCell ref="I35:K35"/>
    <mergeCell ref="G36:G37"/>
    <mergeCell ref="H36:H37"/>
    <mergeCell ref="I36:I37"/>
    <mergeCell ref="J36:J37"/>
    <mergeCell ref="K36:K37"/>
    <mergeCell ref="B41:G41"/>
    <mergeCell ref="I41:O41"/>
    <mergeCell ref="B33:G33"/>
    <mergeCell ref="I33:O33"/>
    <mergeCell ref="A53:A55"/>
    <mergeCell ref="B53:B55"/>
    <mergeCell ref="C53:C55"/>
    <mergeCell ref="D53:D55"/>
    <mergeCell ref="E53:E55"/>
    <mergeCell ref="F53:F55"/>
    <mergeCell ref="G53:H53"/>
    <mergeCell ref="L53:L55"/>
    <mergeCell ref="M53:M55"/>
    <mergeCell ref="N53:N55"/>
    <mergeCell ref="O53:O55"/>
    <mergeCell ref="L35:L37"/>
    <mergeCell ref="M35:M37"/>
    <mergeCell ref="N35:N37"/>
    <mergeCell ref="O35:O37"/>
    <mergeCell ref="A43:A45"/>
    <mergeCell ref="B43:B45"/>
    <mergeCell ref="C43:C45"/>
    <mergeCell ref="D43:D45"/>
    <mergeCell ref="E43:E45"/>
    <mergeCell ref="F43:F45"/>
    <mergeCell ref="G43:H43"/>
    <mergeCell ref="G27:H27"/>
    <mergeCell ref="I27:K27"/>
    <mergeCell ref="L27:L29"/>
    <mergeCell ref="M27:M29"/>
    <mergeCell ref="N27:N29"/>
    <mergeCell ref="O27:O29"/>
    <mergeCell ref="G28:G29"/>
    <mergeCell ref="H28:H29"/>
    <mergeCell ref="I28:I29"/>
    <mergeCell ref="J28:J29"/>
    <mergeCell ref="K28:K29"/>
    <mergeCell ref="A1:A3"/>
    <mergeCell ref="B1:B3"/>
    <mergeCell ref="C1:C3"/>
    <mergeCell ref="D1:D3"/>
    <mergeCell ref="E1:E3"/>
    <mergeCell ref="F1:F3"/>
    <mergeCell ref="K2:K3"/>
    <mergeCell ref="B7:G7"/>
    <mergeCell ref="I7:O7"/>
    <mergeCell ref="G1:H1"/>
    <mergeCell ref="I1:K1"/>
    <mergeCell ref="L1:L3"/>
    <mergeCell ref="M1:M3"/>
    <mergeCell ref="N1:N3"/>
    <mergeCell ref="O1:O3"/>
    <mergeCell ref="G2:G3"/>
    <mergeCell ref="H2:H3"/>
    <mergeCell ref="I2:I3"/>
    <mergeCell ref="J2:J3"/>
  </mergeCells>
  <pageMargins left="0.7" right="0.7" top="0.75" bottom="0.75" header="0.3" footer="0.3"/>
  <pageSetup paperSize="9" scale="38" fitToHeight="0" orientation="landscape" r:id="rId1"/>
  <rowBreaks count="3" manualBreakCount="3">
    <brk id="51" max="16" man="1"/>
    <brk id="95" max="16383" man="1"/>
    <brk id="152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2"/>
  <sheetViews>
    <sheetView topLeftCell="A28" workbookViewId="0">
      <selection activeCell="A17" sqref="A17"/>
    </sheetView>
  </sheetViews>
  <sheetFormatPr defaultColWidth="9.140625" defaultRowHeight="15" x14ac:dyDescent="0.25"/>
  <cols>
    <col min="1" max="1" width="10.140625" style="62" customWidth="1"/>
    <col min="2" max="2" width="21.42578125" style="62" customWidth="1"/>
    <col min="3" max="3" width="12.42578125" style="62" customWidth="1"/>
    <col min="4" max="8" width="9.140625" style="62"/>
    <col min="9" max="9" width="13.28515625" style="62" customWidth="1"/>
    <col min="10" max="10" width="9.140625" style="62"/>
    <col min="11" max="11" width="11.5703125" style="62" customWidth="1"/>
    <col min="12" max="12" width="9.140625" style="62"/>
    <col min="13" max="13" width="11.28515625" style="62" customWidth="1"/>
    <col min="14" max="14" width="18.42578125" style="62" customWidth="1"/>
    <col min="15" max="15" width="14.7109375" style="62" customWidth="1"/>
    <col min="16" max="16" width="13" style="62" customWidth="1"/>
    <col min="17" max="17" width="9.140625" style="62"/>
    <col min="18" max="18" width="11.42578125" style="62" customWidth="1"/>
    <col min="19" max="16384" width="9.140625" style="62"/>
  </cols>
  <sheetData>
    <row r="1" spans="1:20" ht="15.75" x14ac:dyDescent="0.25">
      <c r="A1" s="326" t="s">
        <v>0</v>
      </c>
      <c r="B1" s="326" t="s">
        <v>1</v>
      </c>
      <c r="C1" s="326" t="s">
        <v>2</v>
      </c>
      <c r="D1" s="326" t="s">
        <v>3</v>
      </c>
      <c r="E1" s="326" t="s">
        <v>4</v>
      </c>
      <c r="F1" s="326" t="s">
        <v>5</v>
      </c>
      <c r="G1" s="329" t="s">
        <v>6</v>
      </c>
      <c r="H1" s="330"/>
      <c r="I1" s="329" t="s">
        <v>7</v>
      </c>
      <c r="J1" s="331"/>
      <c r="K1" s="330"/>
      <c r="L1" s="326" t="s">
        <v>8</v>
      </c>
      <c r="M1" s="332" t="s">
        <v>9</v>
      </c>
      <c r="N1" s="332" t="s">
        <v>156</v>
      </c>
      <c r="O1" s="332" t="s">
        <v>156</v>
      </c>
      <c r="P1" s="319" t="s">
        <v>12</v>
      </c>
      <c r="R1" s="63"/>
      <c r="S1" s="63"/>
      <c r="T1" s="73" t="s">
        <v>166</v>
      </c>
    </row>
    <row r="2" spans="1:20" x14ac:dyDescent="0.25">
      <c r="A2" s="327"/>
      <c r="B2" s="327"/>
      <c r="C2" s="327"/>
      <c r="D2" s="327"/>
      <c r="E2" s="327"/>
      <c r="F2" s="327"/>
      <c r="G2" s="326" t="s">
        <v>13</v>
      </c>
      <c r="H2" s="326" t="s">
        <v>14</v>
      </c>
      <c r="I2" s="326" t="s">
        <v>15</v>
      </c>
      <c r="J2" s="326" t="s">
        <v>16</v>
      </c>
      <c r="K2" s="326" t="s">
        <v>17</v>
      </c>
      <c r="L2" s="327"/>
      <c r="M2" s="333"/>
      <c r="N2" s="333"/>
      <c r="O2" s="333"/>
      <c r="P2" s="320"/>
      <c r="R2" s="73" t="s">
        <v>191</v>
      </c>
      <c r="S2" s="63">
        <v>3020</v>
      </c>
      <c r="T2" s="74">
        <f>P5+P16</f>
        <v>18268.702702702707</v>
      </c>
    </row>
    <row r="3" spans="1:20" x14ac:dyDescent="0.25">
      <c r="A3" s="328"/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34"/>
      <c r="N3" s="334"/>
      <c r="O3" s="334"/>
      <c r="P3" s="321"/>
      <c r="R3" s="73" t="s">
        <v>192</v>
      </c>
      <c r="S3" s="63">
        <v>3020</v>
      </c>
      <c r="T3" s="74">
        <f>P6+P17</f>
        <v>22005.821501014198</v>
      </c>
    </row>
    <row r="4" spans="1:20" ht="15.75" x14ac:dyDescent="0.25">
      <c r="A4" s="2" t="s">
        <v>18</v>
      </c>
      <c r="B4" s="2" t="s">
        <v>19</v>
      </c>
      <c r="C4" s="2"/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24</v>
      </c>
      <c r="J4" s="2" t="s">
        <v>22</v>
      </c>
      <c r="K4" s="2" t="s">
        <v>24</v>
      </c>
      <c r="L4" s="2" t="s">
        <v>25</v>
      </c>
      <c r="M4" s="3" t="s">
        <v>25</v>
      </c>
      <c r="N4" s="3" t="s">
        <v>26</v>
      </c>
      <c r="O4" s="3" t="s">
        <v>27</v>
      </c>
      <c r="P4" s="2" t="s">
        <v>28</v>
      </c>
      <c r="R4" s="73" t="s">
        <v>193</v>
      </c>
      <c r="S4" s="63">
        <v>3020</v>
      </c>
      <c r="T4" s="74">
        <f>P7+P18</f>
        <v>268.81487692307689</v>
      </c>
    </row>
    <row r="5" spans="1:20" ht="31.5" x14ac:dyDescent="0.25">
      <c r="A5" s="2">
        <v>1</v>
      </c>
      <c r="B5" s="4" t="s">
        <v>65</v>
      </c>
      <c r="C5" s="4" t="s">
        <v>29</v>
      </c>
      <c r="D5" s="2" t="s">
        <v>30</v>
      </c>
      <c r="E5" s="2">
        <v>1.6</v>
      </c>
      <c r="F5" s="2">
        <v>74</v>
      </c>
      <c r="G5" s="5">
        <f>H5*100/F5</f>
        <v>189.18918918918919</v>
      </c>
      <c r="H5" s="2">
        <v>140</v>
      </c>
      <c r="I5" s="6">
        <f>1/(H5/(10*F5))</f>
        <v>5.2857142857142856</v>
      </c>
      <c r="J5" s="2">
        <v>0</v>
      </c>
      <c r="K5" s="6">
        <f>I5-(I5/100*J5)</f>
        <v>5.2857142857142856</v>
      </c>
      <c r="L5" s="7">
        <f>M5/1.6</f>
        <v>491.25</v>
      </c>
      <c r="M5" s="8">
        <f>628.8*1.25</f>
        <v>786</v>
      </c>
      <c r="N5" s="9">
        <f>A5/K5</f>
        <v>0.1891891891891892</v>
      </c>
      <c r="O5" s="8">
        <f>E5*N5</f>
        <v>0.30270270270270272</v>
      </c>
      <c r="P5" s="10">
        <f>N5*M5</f>
        <v>148.70270270270271</v>
      </c>
      <c r="Q5" s="72">
        <v>0.25</v>
      </c>
    </row>
    <row r="6" spans="1:20" ht="31.5" x14ac:dyDescent="0.25">
      <c r="A6" s="3">
        <v>1</v>
      </c>
      <c r="B6" s="12" t="s">
        <v>42</v>
      </c>
      <c r="C6" s="12" t="s">
        <v>29</v>
      </c>
      <c r="D6" s="3" t="s">
        <v>30</v>
      </c>
      <c r="E6" s="3">
        <v>1.5</v>
      </c>
      <c r="F6" s="3">
        <v>85</v>
      </c>
      <c r="G6" s="16">
        <f>H6*(100+10)/F6</f>
        <v>77.647058823529406</v>
      </c>
      <c r="H6" s="3">
        <v>60</v>
      </c>
      <c r="I6" s="17">
        <f>1/(H6/(10*F6))</f>
        <v>14.166666666666666</v>
      </c>
      <c r="J6" s="3">
        <v>0</v>
      </c>
      <c r="K6" s="17">
        <f>I6-(I6/100*J6)</f>
        <v>14.166666666666666</v>
      </c>
      <c r="L6" s="8">
        <v>550</v>
      </c>
      <c r="M6" s="8">
        <f>E6*L6</f>
        <v>825</v>
      </c>
      <c r="N6" s="9">
        <f>A6/K6</f>
        <v>7.0588235294117646E-2</v>
      </c>
      <c r="O6" s="9">
        <f>E6*N6</f>
        <v>0.10588235294117647</v>
      </c>
      <c r="P6" s="18">
        <f>O6*L6</f>
        <v>58.235294117647058</v>
      </c>
      <c r="Q6" s="72">
        <v>0.45</v>
      </c>
      <c r="R6" s="63"/>
      <c r="S6" s="63"/>
      <c r="T6" s="73" t="s">
        <v>166</v>
      </c>
    </row>
    <row r="7" spans="1:20" ht="15.75" x14ac:dyDescent="0.25">
      <c r="A7" s="57">
        <v>1</v>
      </c>
      <c r="B7" s="70" t="s">
        <v>189</v>
      </c>
      <c r="C7" s="63"/>
      <c r="D7" s="63"/>
      <c r="E7" s="63">
        <v>1.47</v>
      </c>
      <c r="F7" s="63">
        <v>78</v>
      </c>
      <c r="G7" s="16">
        <f>H7*(100+10)/F7</f>
        <v>197.43589743589743</v>
      </c>
      <c r="H7" s="3">
        <v>140</v>
      </c>
      <c r="I7" s="17">
        <f>1/(H7/(10*F7))</f>
        <v>5.5714285714285712</v>
      </c>
      <c r="J7" s="3">
        <v>0</v>
      </c>
      <c r="K7" s="17">
        <f>I7-(I7/100*J7)</f>
        <v>5.5714285714285712</v>
      </c>
      <c r="L7" s="8">
        <v>572.17999999999995</v>
      </c>
      <c r="M7" s="8">
        <f>E7*L7</f>
        <v>841.10459999999989</v>
      </c>
      <c r="N7" s="9">
        <f>A7/K7</f>
        <v>0.17948717948717949</v>
      </c>
      <c r="O7" s="9">
        <f>E7*N7</f>
        <v>0.26384615384615384</v>
      </c>
      <c r="P7" s="18">
        <f>N7*M7</f>
        <v>150.96749230769228</v>
      </c>
      <c r="R7" s="73" t="s">
        <v>191</v>
      </c>
      <c r="S7" s="63">
        <v>7004</v>
      </c>
      <c r="T7" s="74">
        <f>P5+P25</f>
        <v>148.70270270270271</v>
      </c>
    </row>
    <row r="8" spans="1:20" x14ac:dyDescent="0.25">
      <c r="R8" s="73" t="s">
        <v>192</v>
      </c>
      <c r="S8" s="63">
        <v>7004</v>
      </c>
      <c r="T8" s="74">
        <f>P6+P26</f>
        <v>148.60770791075052</v>
      </c>
    </row>
    <row r="9" spans="1:20" x14ac:dyDescent="0.25">
      <c r="R9" s="73" t="s">
        <v>193</v>
      </c>
      <c r="S9" s="63">
        <v>7004</v>
      </c>
      <c r="T9" s="74">
        <f>P7+P27</f>
        <v>247.93026153846154</v>
      </c>
    </row>
    <row r="11" spans="1:20" x14ac:dyDescent="0.25">
      <c r="R11" s="63"/>
      <c r="S11" s="63"/>
      <c r="T11" s="73" t="s">
        <v>166</v>
      </c>
    </row>
    <row r="12" spans="1:20" ht="15.75" x14ac:dyDescent="0.25">
      <c r="A12" s="326" t="s">
        <v>0</v>
      </c>
      <c r="B12" s="326" t="s">
        <v>1</v>
      </c>
      <c r="C12" s="326" t="s">
        <v>2</v>
      </c>
      <c r="D12" s="326" t="s">
        <v>3</v>
      </c>
      <c r="E12" s="326" t="s">
        <v>4</v>
      </c>
      <c r="F12" s="326" t="s">
        <v>5</v>
      </c>
      <c r="G12" s="329" t="s">
        <v>6</v>
      </c>
      <c r="H12" s="330"/>
      <c r="I12" s="329" t="s">
        <v>7</v>
      </c>
      <c r="J12" s="331"/>
      <c r="K12" s="330"/>
      <c r="L12" s="326" t="s">
        <v>8</v>
      </c>
      <c r="M12" s="332" t="s">
        <v>9</v>
      </c>
      <c r="N12" s="332" t="s">
        <v>156</v>
      </c>
      <c r="O12" s="332" t="s">
        <v>156</v>
      </c>
      <c r="P12" s="319" t="s">
        <v>12</v>
      </c>
      <c r="R12" s="73" t="s">
        <v>191</v>
      </c>
      <c r="S12" s="63">
        <v>1021</v>
      </c>
      <c r="T12" s="74">
        <f>P5+P34</f>
        <v>312.81698841698841</v>
      </c>
    </row>
    <row r="13" spans="1:20" ht="15.75" customHeight="1" x14ac:dyDescent="0.25">
      <c r="A13" s="327"/>
      <c r="B13" s="327"/>
      <c r="C13" s="327"/>
      <c r="D13" s="327"/>
      <c r="E13" s="327"/>
      <c r="F13" s="327"/>
      <c r="G13" s="326" t="s">
        <v>13</v>
      </c>
      <c r="H13" s="326" t="s">
        <v>14</v>
      </c>
      <c r="I13" s="326" t="s">
        <v>15</v>
      </c>
      <c r="J13" s="326" t="s">
        <v>16</v>
      </c>
      <c r="K13" s="326" t="s">
        <v>17</v>
      </c>
      <c r="L13" s="327"/>
      <c r="M13" s="333"/>
      <c r="N13" s="333"/>
      <c r="O13" s="333"/>
      <c r="P13" s="320"/>
      <c r="R13" s="73" t="s">
        <v>192</v>
      </c>
      <c r="S13" s="63">
        <v>1021</v>
      </c>
      <c r="T13" s="74">
        <f>P6+P35</f>
        <v>159.33943204868154</v>
      </c>
    </row>
    <row r="14" spans="1:20" ht="15" customHeight="1" x14ac:dyDescent="0.25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34"/>
      <c r="N14" s="334"/>
      <c r="O14" s="334"/>
      <c r="P14" s="321"/>
      <c r="R14" s="73" t="s">
        <v>193</v>
      </c>
      <c r="S14" s="63">
        <v>1021</v>
      </c>
      <c r="T14" s="74">
        <f>P7+P36</f>
        <v>252.54176923076921</v>
      </c>
    </row>
    <row r="15" spans="1:20" ht="15" customHeight="1" x14ac:dyDescent="0.25">
      <c r="A15" s="2" t="s">
        <v>18</v>
      </c>
      <c r="B15" s="2" t="s">
        <v>19</v>
      </c>
      <c r="C15" s="2"/>
      <c r="D15" s="2" t="s">
        <v>20</v>
      </c>
      <c r="E15" s="2" t="s">
        <v>21</v>
      </c>
      <c r="F15" s="2" t="s">
        <v>22</v>
      </c>
      <c r="G15" s="2" t="s">
        <v>23</v>
      </c>
      <c r="H15" s="2" t="s">
        <v>23</v>
      </c>
      <c r="I15" s="2" t="s">
        <v>24</v>
      </c>
      <c r="J15" s="2" t="s">
        <v>22</v>
      </c>
      <c r="K15" s="2" t="s">
        <v>24</v>
      </c>
      <c r="L15" s="2" t="s">
        <v>25</v>
      </c>
      <c r="M15" s="3" t="s">
        <v>25</v>
      </c>
      <c r="N15" s="3" t="s">
        <v>26</v>
      </c>
      <c r="O15" s="3" t="s">
        <v>27</v>
      </c>
      <c r="P15" s="2" t="s">
        <v>28</v>
      </c>
    </row>
    <row r="16" spans="1:20" ht="31.5" x14ac:dyDescent="0.25">
      <c r="A16" s="2">
        <v>150</v>
      </c>
      <c r="B16" s="4" t="s">
        <v>31</v>
      </c>
      <c r="C16" s="4" t="s">
        <v>32</v>
      </c>
      <c r="D16" s="11">
        <v>3020</v>
      </c>
      <c r="E16" s="2">
        <v>1.4</v>
      </c>
      <c r="F16" s="2">
        <v>63</v>
      </c>
      <c r="G16" s="5">
        <f>H16*100/F16</f>
        <v>95.238095238095241</v>
      </c>
      <c r="H16" s="2">
        <v>60</v>
      </c>
      <c r="I16" s="6">
        <f>1/(H16/(10*F16))</f>
        <v>10.5</v>
      </c>
      <c r="J16" s="2">
        <v>0</v>
      </c>
      <c r="K16" s="6">
        <f>I16-(I16/100*J16)</f>
        <v>10.5</v>
      </c>
      <c r="L16" s="7">
        <f>M16/E16</f>
        <v>906.00000000000011</v>
      </c>
      <c r="M16" s="8">
        <f>1268.4</f>
        <v>1268.4000000000001</v>
      </c>
      <c r="N16" s="9">
        <f>A16/K16</f>
        <v>14.285714285714286</v>
      </c>
      <c r="O16" s="9">
        <f>E16*N16</f>
        <v>20</v>
      </c>
      <c r="P16" s="10">
        <f>N16*M16</f>
        <v>18120.000000000004</v>
      </c>
      <c r="Q16" s="72">
        <v>0</v>
      </c>
    </row>
    <row r="17" spans="1:20" ht="31.5" x14ac:dyDescent="0.25">
      <c r="A17" s="3">
        <v>150</v>
      </c>
      <c r="B17" s="12" t="s">
        <v>43</v>
      </c>
      <c r="C17" s="12" t="s">
        <v>32</v>
      </c>
      <c r="D17" s="19">
        <v>3020</v>
      </c>
      <c r="E17" s="3">
        <v>1.3</v>
      </c>
      <c r="F17" s="3">
        <v>58</v>
      </c>
      <c r="G17" s="16">
        <f>H17*100/F17</f>
        <v>103.44827586206897</v>
      </c>
      <c r="H17" s="3">
        <v>60</v>
      </c>
      <c r="I17" s="17">
        <f>1/(H17/(10*F17))</f>
        <v>9.6666666666666661</v>
      </c>
      <c r="J17" s="3">
        <v>0</v>
      </c>
      <c r="K17" s="17">
        <f>I17-(I17/100*J17)</f>
        <v>9.6666666666666661</v>
      </c>
      <c r="L17" s="8">
        <f>1088</f>
        <v>1088</v>
      </c>
      <c r="M17" s="8">
        <f>E17*L17</f>
        <v>1414.4</v>
      </c>
      <c r="N17" s="9">
        <f>A17/K17</f>
        <v>15.517241379310345</v>
      </c>
      <c r="O17" s="9">
        <f>E17*N17</f>
        <v>20.172413793103448</v>
      </c>
      <c r="P17" s="18">
        <f>O17*L17</f>
        <v>21947.586206896551</v>
      </c>
      <c r="Q17" s="72">
        <v>0</v>
      </c>
    </row>
    <row r="18" spans="1:20" ht="24" customHeight="1" x14ac:dyDescent="0.25">
      <c r="A18" s="57">
        <v>1</v>
      </c>
      <c r="B18" s="70" t="s">
        <v>190</v>
      </c>
      <c r="C18" s="63"/>
      <c r="D18" s="57">
        <v>3020</v>
      </c>
      <c r="E18" s="63">
        <v>1.44</v>
      </c>
      <c r="F18" s="63">
        <v>65</v>
      </c>
      <c r="G18" s="16">
        <f>H18*(100+10)/F18</f>
        <v>101.53846153846153</v>
      </c>
      <c r="H18" s="3">
        <v>60</v>
      </c>
      <c r="I18" s="17">
        <f>1/(H18/(10*F18))</f>
        <v>10.833333333333332</v>
      </c>
      <c r="J18" s="3">
        <v>0</v>
      </c>
      <c r="K18" s="17">
        <f>I18-(I18/100*J18)</f>
        <v>10.833333333333332</v>
      </c>
      <c r="L18" s="8">
        <f>M18/E18</f>
        <v>886.58333333333337</v>
      </c>
      <c r="M18" s="8">
        <f>1063.9*1.2</f>
        <v>1276.68</v>
      </c>
      <c r="N18" s="9">
        <f>A18/K18</f>
        <v>9.2307692307692313E-2</v>
      </c>
      <c r="O18" s="9">
        <f>E18*N18</f>
        <v>0.13292307692307692</v>
      </c>
      <c r="P18" s="18">
        <f>N18*M18</f>
        <v>117.84738461538463</v>
      </c>
    </row>
    <row r="19" spans="1:20" x14ac:dyDescent="0.25">
      <c r="T19" s="62">
        <f>58.23-62.37</f>
        <v>-4.1400000000000006</v>
      </c>
    </row>
    <row r="21" spans="1:20" ht="15.75" x14ac:dyDescent="0.25">
      <c r="A21" s="326" t="s">
        <v>0</v>
      </c>
      <c r="B21" s="326" t="s">
        <v>1</v>
      </c>
      <c r="C21" s="326" t="s">
        <v>2</v>
      </c>
      <c r="D21" s="326" t="s">
        <v>3</v>
      </c>
      <c r="E21" s="326" t="s">
        <v>4</v>
      </c>
      <c r="F21" s="326" t="s">
        <v>5</v>
      </c>
      <c r="G21" s="329" t="s">
        <v>6</v>
      </c>
      <c r="H21" s="330"/>
      <c r="I21" s="329" t="s">
        <v>7</v>
      </c>
      <c r="J21" s="331"/>
      <c r="K21" s="330"/>
      <c r="L21" s="326" t="s">
        <v>8</v>
      </c>
      <c r="M21" s="332" t="s">
        <v>9</v>
      </c>
      <c r="N21" s="332" t="s">
        <v>156</v>
      </c>
      <c r="O21" s="332" t="s">
        <v>156</v>
      </c>
      <c r="P21" s="319" t="s">
        <v>12</v>
      </c>
    </row>
    <row r="22" spans="1:20" x14ac:dyDescent="0.25">
      <c r="A22" s="327"/>
      <c r="B22" s="327"/>
      <c r="C22" s="327"/>
      <c r="D22" s="327"/>
      <c r="E22" s="327"/>
      <c r="F22" s="327"/>
      <c r="G22" s="326" t="s">
        <v>13</v>
      </c>
      <c r="H22" s="326" t="s">
        <v>14</v>
      </c>
      <c r="I22" s="326" t="s">
        <v>15</v>
      </c>
      <c r="J22" s="326" t="s">
        <v>16</v>
      </c>
      <c r="K22" s="326" t="s">
        <v>17</v>
      </c>
      <c r="L22" s="327"/>
      <c r="M22" s="333"/>
      <c r="N22" s="333"/>
      <c r="O22" s="333"/>
      <c r="P22" s="320"/>
    </row>
    <row r="23" spans="1:20" x14ac:dyDescent="0.25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34"/>
      <c r="N23" s="334"/>
      <c r="O23" s="334"/>
      <c r="P23" s="321"/>
    </row>
    <row r="24" spans="1:20" ht="15.75" x14ac:dyDescent="0.25">
      <c r="A24" s="2" t="s">
        <v>18</v>
      </c>
      <c r="B24" s="2" t="s">
        <v>19</v>
      </c>
      <c r="C24" s="2"/>
      <c r="D24" s="2" t="s">
        <v>20</v>
      </c>
      <c r="E24" s="2" t="s">
        <v>21</v>
      </c>
      <c r="F24" s="2" t="s">
        <v>22</v>
      </c>
      <c r="G24" s="2" t="s">
        <v>23</v>
      </c>
      <c r="H24" s="2" t="s">
        <v>23</v>
      </c>
      <c r="I24" s="2" t="s">
        <v>24</v>
      </c>
      <c r="J24" s="2" t="s">
        <v>22</v>
      </c>
      <c r="K24" s="2" t="s">
        <v>24</v>
      </c>
      <c r="L24" s="2" t="s">
        <v>25</v>
      </c>
      <c r="M24" s="3" t="s">
        <v>25</v>
      </c>
      <c r="N24" s="3" t="s">
        <v>26</v>
      </c>
      <c r="O24" s="3" t="s">
        <v>27</v>
      </c>
      <c r="P24" s="2" t="s">
        <v>28</v>
      </c>
    </row>
    <row r="25" spans="1:20" ht="31.5" x14ac:dyDescent="0.25">
      <c r="A25" s="2">
        <v>1</v>
      </c>
      <c r="B25" s="4" t="s">
        <v>31</v>
      </c>
      <c r="C25" s="4" t="s">
        <v>32</v>
      </c>
      <c r="D25" s="11">
        <v>7004</v>
      </c>
      <c r="E25" s="2">
        <v>1.4</v>
      </c>
      <c r="F25" s="2">
        <v>63</v>
      </c>
      <c r="G25" s="5">
        <f>H25*100/F25</f>
        <v>95.238095238095241</v>
      </c>
      <c r="H25" s="2">
        <v>60</v>
      </c>
      <c r="I25" s="6">
        <f>1/(H25/(10*F25))</f>
        <v>10.5</v>
      </c>
      <c r="J25" s="2">
        <v>0</v>
      </c>
      <c r="K25" s="6">
        <f>I25-(I25/100*J25)</f>
        <v>10.5</v>
      </c>
      <c r="L25" s="7">
        <f>M25/E25</f>
        <v>0</v>
      </c>
      <c r="M25" s="8">
        <v>0</v>
      </c>
      <c r="N25" s="9">
        <f>A25/K25</f>
        <v>9.5238095238095233E-2</v>
      </c>
      <c r="O25" s="9">
        <f>E25*N25</f>
        <v>0.1333333333333333</v>
      </c>
      <c r="P25" s="10">
        <f>N25*M25</f>
        <v>0</v>
      </c>
      <c r="Q25" s="71">
        <v>0</v>
      </c>
    </row>
    <row r="26" spans="1:20" ht="31.5" x14ac:dyDescent="0.25">
      <c r="A26" s="3">
        <v>1</v>
      </c>
      <c r="B26" s="12" t="s">
        <v>43</v>
      </c>
      <c r="C26" s="12" t="s">
        <v>32</v>
      </c>
      <c r="D26" s="19">
        <v>7004</v>
      </c>
      <c r="E26" s="3">
        <v>1.3</v>
      </c>
      <c r="F26" s="3">
        <v>58</v>
      </c>
      <c r="G26" s="16">
        <f>H26*100/F26</f>
        <v>103.44827586206897</v>
      </c>
      <c r="H26" s="3">
        <v>60</v>
      </c>
      <c r="I26" s="17">
        <f>1/(H26/(10*F26))</f>
        <v>9.6666666666666661</v>
      </c>
      <c r="J26" s="3">
        <v>0</v>
      </c>
      <c r="K26" s="17">
        <f>I26-(I26/100*J26)</f>
        <v>9.6666666666666661</v>
      </c>
      <c r="L26" s="8">
        <v>672</v>
      </c>
      <c r="M26" s="8">
        <f>E26*L26</f>
        <v>873.6</v>
      </c>
      <c r="N26" s="9">
        <f>A26/K26</f>
        <v>0.10344827586206898</v>
      </c>
      <c r="O26" s="9">
        <f>E26*N26</f>
        <v>0.13448275862068967</v>
      </c>
      <c r="P26" s="18">
        <f>O26*L26</f>
        <v>90.372413793103462</v>
      </c>
      <c r="Q26" s="71">
        <v>0.35</v>
      </c>
    </row>
    <row r="27" spans="1:20" ht="15.75" x14ac:dyDescent="0.25">
      <c r="A27" s="75">
        <v>1</v>
      </c>
      <c r="B27" s="76" t="s">
        <v>190</v>
      </c>
      <c r="C27" s="77"/>
      <c r="D27" s="75">
        <v>7004</v>
      </c>
      <c r="E27" s="77">
        <v>1.44</v>
      </c>
      <c r="F27" s="77">
        <v>65</v>
      </c>
      <c r="G27" s="78">
        <f>H27*(100+10)/F27</f>
        <v>101.53846153846153</v>
      </c>
      <c r="H27" s="79">
        <v>60</v>
      </c>
      <c r="I27" s="80">
        <f>1/(H27/(10*F27))</f>
        <v>10.833333333333332</v>
      </c>
      <c r="J27" s="79">
        <v>0</v>
      </c>
      <c r="K27" s="80">
        <f>I27-(I27/100*J27)</f>
        <v>10.833333333333332</v>
      </c>
      <c r="L27" s="81">
        <f>M27/E27</f>
        <v>729.46527777777783</v>
      </c>
      <c r="M27" s="81">
        <f>1050.43</f>
        <v>1050.43</v>
      </c>
      <c r="N27" s="82">
        <f>A27/K27</f>
        <v>9.2307692307692313E-2</v>
      </c>
      <c r="O27" s="82">
        <f>E27*N27</f>
        <v>0.13292307692307692</v>
      </c>
      <c r="P27" s="83">
        <f>N27*M27</f>
        <v>96.96276923076924</v>
      </c>
    </row>
    <row r="30" spans="1:20" ht="15.75" x14ac:dyDescent="0.25">
      <c r="A30" s="326" t="s">
        <v>0</v>
      </c>
      <c r="B30" s="326" t="s">
        <v>1</v>
      </c>
      <c r="C30" s="326" t="s">
        <v>2</v>
      </c>
      <c r="D30" s="326" t="s">
        <v>3</v>
      </c>
      <c r="E30" s="326" t="s">
        <v>4</v>
      </c>
      <c r="F30" s="326" t="s">
        <v>5</v>
      </c>
      <c r="G30" s="329" t="s">
        <v>6</v>
      </c>
      <c r="H30" s="330"/>
      <c r="I30" s="329" t="s">
        <v>7</v>
      </c>
      <c r="J30" s="331"/>
      <c r="K30" s="330"/>
      <c r="L30" s="326" t="s">
        <v>8</v>
      </c>
      <c r="M30" s="332" t="s">
        <v>9</v>
      </c>
      <c r="N30" s="332" t="s">
        <v>156</v>
      </c>
      <c r="O30" s="332" t="s">
        <v>156</v>
      </c>
      <c r="P30" s="319" t="s">
        <v>12</v>
      </c>
    </row>
    <row r="31" spans="1:20" x14ac:dyDescent="0.25">
      <c r="A31" s="327"/>
      <c r="B31" s="327"/>
      <c r="C31" s="327"/>
      <c r="D31" s="327"/>
      <c r="E31" s="327"/>
      <c r="F31" s="327"/>
      <c r="G31" s="326" t="s">
        <v>13</v>
      </c>
      <c r="H31" s="326" t="s">
        <v>14</v>
      </c>
      <c r="I31" s="326" t="s">
        <v>15</v>
      </c>
      <c r="J31" s="326" t="s">
        <v>16</v>
      </c>
      <c r="K31" s="326" t="s">
        <v>17</v>
      </c>
      <c r="L31" s="327"/>
      <c r="M31" s="333"/>
      <c r="N31" s="333"/>
      <c r="O31" s="333"/>
      <c r="P31" s="320"/>
    </row>
    <row r="32" spans="1:20" x14ac:dyDescent="0.25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34"/>
      <c r="N32" s="334"/>
      <c r="O32" s="334"/>
      <c r="P32" s="321"/>
    </row>
    <row r="33" spans="1:17" ht="15.75" x14ac:dyDescent="0.25">
      <c r="A33" s="2" t="s">
        <v>18</v>
      </c>
      <c r="B33" s="2" t="s">
        <v>19</v>
      </c>
      <c r="C33" s="2"/>
      <c r="D33" s="2" t="s">
        <v>20</v>
      </c>
      <c r="E33" s="2" t="s">
        <v>21</v>
      </c>
      <c r="F33" s="2" t="s">
        <v>22</v>
      </c>
      <c r="G33" s="2" t="s">
        <v>23</v>
      </c>
      <c r="H33" s="2" t="s">
        <v>23</v>
      </c>
      <c r="I33" s="2" t="s">
        <v>24</v>
      </c>
      <c r="J33" s="2" t="s">
        <v>22</v>
      </c>
      <c r="K33" s="2" t="s">
        <v>24</v>
      </c>
      <c r="L33" s="2" t="s">
        <v>25</v>
      </c>
      <c r="M33" s="3" t="s">
        <v>25</v>
      </c>
      <c r="N33" s="3" t="s">
        <v>26</v>
      </c>
      <c r="O33" s="3" t="s">
        <v>27</v>
      </c>
      <c r="P33" s="2" t="s">
        <v>28</v>
      </c>
    </row>
    <row r="34" spans="1:17" ht="31.5" x14ac:dyDescent="0.25">
      <c r="A34" s="2">
        <v>1</v>
      </c>
      <c r="B34" s="4" t="s">
        <v>31</v>
      </c>
      <c r="C34" s="4" t="s">
        <v>32</v>
      </c>
      <c r="D34" s="11">
        <v>1021</v>
      </c>
      <c r="E34" s="2">
        <v>1.4</v>
      </c>
      <c r="F34" s="2">
        <v>63</v>
      </c>
      <c r="G34" s="5">
        <f>H34*100/F34</f>
        <v>95.238095238095241</v>
      </c>
      <c r="H34" s="2">
        <v>60</v>
      </c>
      <c r="I34" s="6">
        <f>1/(H34/(10*F34))</f>
        <v>10.5</v>
      </c>
      <c r="J34" s="2">
        <v>0</v>
      </c>
      <c r="K34" s="6">
        <f>I34-(I34/100*J34)</f>
        <v>10.5</v>
      </c>
      <c r="L34" s="7">
        <f>M34/E34</f>
        <v>1230.8571428571429</v>
      </c>
      <c r="M34" s="8">
        <f>1723.2</f>
        <v>1723.2</v>
      </c>
      <c r="N34" s="9">
        <f>A34/K34</f>
        <v>9.5238095238095233E-2</v>
      </c>
      <c r="O34" s="9">
        <f>E34*N34</f>
        <v>0.1333333333333333</v>
      </c>
      <c r="P34" s="10">
        <f>N34*M34</f>
        <v>164.1142857142857</v>
      </c>
      <c r="Q34" s="71">
        <v>0</v>
      </c>
    </row>
    <row r="35" spans="1:17" ht="31.5" x14ac:dyDescent="0.25">
      <c r="A35" s="3">
        <v>1</v>
      </c>
      <c r="B35" s="12" t="s">
        <v>43</v>
      </c>
      <c r="C35" s="12" t="s">
        <v>32</v>
      </c>
      <c r="D35" s="19">
        <v>1021</v>
      </c>
      <c r="E35" s="3">
        <v>1.3</v>
      </c>
      <c r="F35" s="3">
        <v>58</v>
      </c>
      <c r="G35" s="16">
        <f>H35*100/F35</f>
        <v>103.44827586206897</v>
      </c>
      <c r="H35" s="3">
        <v>60</v>
      </c>
      <c r="I35" s="17">
        <f>1/(H35/(10*F35))</f>
        <v>9.6666666666666661</v>
      </c>
      <c r="J35" s="3">
        <v>0</v>
      </c>
      <c r="K35" s="17">
        <f>I35-(I35/100*J35)</f>
        <v>9.6666666666666661</v>
      </c>
      <c r="L35" s="8">
        <f>716*1.05</f>
        <v>751.80000000000007</v>
      </c>
      <c r="M35" s="8">
        <f>E35*L35</f>
        <v>977.34000000000015</v>
      </c>
      <c r="N35" s="9">
        <f>A35/K35</f>
        <v>0.10344827586206898</v>
      </c>
      <c r="O35" s="9">
        <f>E35*N35</f>
        <v>0.13448275862068967</v>
      </c>
      <c r="P35" s="18">
        <f>O35*L35</f>
        <v>101.1041379310345</v>
      </c>
      <c r="Q35" s="71">
        <v>0.05</v>
      </c>
    </row>
    <row r="36" spans="1:17" ht="15.75" x14ac:dyDescent="0.25">
      <c r="A36" s="57">
        <v>1</v>
      </c>
      <c r="B36" s="70" t="s">
        <v>190</v>
      </c>
      <c r="C36" s="63"/>
      <c r="D36" s="57">
        <v>1021</v>
      </c>
      <c r="E36" s="63">
        <v>1.44</v>
      </c>
      <c r="F36" s="63">
        <v>65</v>
      </c>
      <c r="G36" s="16">
        <f>H36*(100+10)/F36</f>
        <v>101.53846153846153</v>
      </c>
      <c r="H36" s="3">
        <v>60</v>
      </c>
      <c r="I36" s="17">
        <f>1/(H36/(10*F36))</f>
        <v>10.833333333333332</v>
      </c>
      <c r="J36" s="3">
        <v>0</v>
      </c>
      <c r="K36" s="17">
        <f>I36-(I36/100*J36)</f>
        <v>10.833333333333332</v>
      </c>
      <c r="L36" s="8">
        <f>M36/E36</f>
        <v>764.1583333333333</v>
      </c>
      <c r="M36" s="8">
        <f>916.99*1.2</f>
        <v>1100.3879999999999</v>
      </c>
      <c r="N36" s="9">
        <f>A36/K36</f>
        <v>9.2307692307692313E-2</v>
      </c>
      <c r="O36" s="9">
        <f>E36*N36</f>
        <v>0.13292307692307692</v>
      </c>
      <c r="P36" s="18">
        <f>N36*M36</f>
        <v>101.57427692307692</v>
      </c>
    </row>
    <row r="40" spans="1:17" ht="31.5" x14ac:dyDescent="0.25">
      <c r="A40" s="3">
        <v>1</v>
      </c>
      <c r="B40" s="12" t="s">
        <v>43</v>
      </c>
      <c r="C40" s="12" t="s">
        <v>32</v>
      </c>
      <c r="D40" s="19">
        <v>5005</v>
      </c>
      <c r="E40" s="3">
        <v>1.3</v>
      </c>
      <c r="F40" s="3">
        <v>58</v>
      </c>
      <c r="G40" s="16">
        <f>H40*100/F40</f>
        <v>103.44827586206897</v>
      </c>
      <c r="H40" s="3">
        <v>60</v>
      </c>
      <c r="I40" s="17">
        <f>1/(H40/(10*F40))</f>
        <v>9.6666666666666661</v>
      </c>
      <c r="J40" s="3">
        <v>0</v>
      </c>
      <c r="K40" s="17">
        <f>I40-(I40/100*J40)</f>
        <v>9.6666666666666661</v>
      </c>
      <c r="L40" s="8">
        <v>852</v>
      </c>
      <c r="M40" s="8">
        <f>E40*L40</f>
        <v>1107.6000000000001</v>
      </c>
      <c r="N40" s="9">
        <f>A40/K40</f>
        <v>0.10344827586206898</v>
      </c>
      <c r="O40" s="9">
        <f>E40*N40</f>
        <v>0.13448275862068967</v>
      </c>
      <c r="P40" s="18">
        <f>O40*L40</f>
        <v>114.5793103448276</v>
      </c>
    </row>
    <row r="41" spans="1:17" ht="15.75" x14ac:dyDescent="0.25">
      <c r="A41" s="75">
        <v>1</v>
      </c>
      <c r="B41" s="76" t="s">
        <v>190</v>
      </c>
      <c r="C41" s="77"/>
      <c r="D41" s="75">
        <v>5005</v>
      </c>
      <c r="E41" s="77">
        <v>1.44</v>
      </c>
      <c r="F41" s="77">
        <v>65</v>
      </c>
      <c r="G41" s="78">
        <f>H41*(100+10)/F41</f>
        <v>101.53846153846153</v>
      </c>
      <c r="H41" s="79">
        <v>60</v>
      </c>
      <c r="I41" s="80">
        <f>1/(H41/(10*F41))</f>
        <v>10.833333333333332</v>
      </c>
      <c r="J41" s="79">
        <v>0</v>
      </c>
      <c r="K41" s="80">
        <f>I41-(I41/100*J41)</f>
        <v>10.833333333333332</v>
      </c>
      <c r="L41" s="81">
        <v>852</v>
      </c>
      <c r="M41" s="81">
        <v>1266.0999999999999</v>
      </c>
      <c r="N41" s="82">
        <f>A41/K41</f>
        <v>9.2307692307692313E-2</v>
      </c>
      <c r="O41" s="82">
        <f>E41*N41</f>
        <v>0.13292307692307692</v>
      </c>
      <c r="P41" s="83">
        <f>N41*M41</f>
        <v>116.87076923076923</v>
      </c>
    </row>
    <row r="43" spans="1:17" ht="31.5" x14ac:dyDescent="0.25">
      <c r="A43" s="3">
        <v>1</v>
      </c>
      <c r="B43" s="12" t="s">
        <v>43</v>
      </c>
      <c r="C43" s="12" t="s">
        <v>32</v>
      </c>
      <c r="D43" s="19">
        <v>7004</v>
      </c>
      <c r="E43" s="3">
        <v>1.3</v>
      </c>
      <c r="F43" s="3">
        <v>58</v>
      </c>
      <c r="G43" s="16">
        <f>H43*100/F43</f>
        <v>103.44827586206897</v>
      </c>
      <c r="H43" s="3">
        <v>60</v>
      </c>
      <c r="I43" s="17">
        <f>1/(H43/(10*F43))</f>
        <v>9.6666666666666661</v>
      </c>
      <c r="J43" s="3">
        <v>0</v>
      </c>
      <c r="K43" s="17">
        <f>I43-(I43/100*J43)</f>
        <v>9.6666666666666661</v>
      </c>
      <c r="L43" s="8">
        <v>677</v>
      </c>
      <c r="M43" s="8">
        <f>E43*L43</f>
        <v>880.1</v>
      </c>
      <c r="N43" s="9">
        <f>A43/K43</f>
        <v>0.10344827586206898</v>
      </c>
      <c r="O43" s="9">
        <f>E43*N43</f>
        <v>0.13448275862068967</v>
      </c>
      <c r="P43" s="18">
        <f>O43*L43</f>
        <v>91.044827586206907</v>
      </c>
    </row>
    <row r="44" spans="1:17" ht="15.75" x14ac:dyDescent="0.25">
      <c r="A44" s="75">
        <v>1</v>
      </c>
      <c r="B44" s="76" t="s">
        <v>190</v>
      </c>
      <c r="C44" s="77"/>
      <c r="D44" s="75">
        <v>7004</v>
      </c>
      <c r="E44" s="77">
        <v>1.44</v>
      </c>
      <c r="F44" s="77">
        <v>65</v>
      </c>
      <c r="G44" s="78">
        <f>H44*(100+10)/F44</f>
        <v>101.53846153846153</v>
      </c>
      <c r="H44" s="79">
        <v>60</v>
      </c>
      <c r="I44" s="80">
        <f>1/(H44/(10*F44))</f>
        <v>10.833333333333332</v>
      </c>
      <c r="J44" s="79">
        <v>0</v>
      </c>
      <c r="K44" s="80">
        <f>I44-(I44/100*J44)</f>
        <v>10.833333333333332</v>
      </c>
      <c r="L44" s="81">
        <f>M44/E44</f>
        <v>729.46527777777783</v>
      </c>
      <c r="M44" s="81">
        <v>1050.43</v>
      </c>
      <c r="N44" s="82">
        <f>A44/K44</f>
        <v>9.2307692307692313E-2</v>
      </c>
      <c r="O44" s="82">
        <f>E44*N44</f>
        <v>0.13292307692307692</v>
      </c>
      <c r="P44" s="83">
        <f>N44*M44</f>
        <v>96.96276923076924</v>
      </c>
    </row>
    <row r="46" spans="1:17" ht="31.5" x14ac:dyDescent="0.25">
      <c r="A46" s="3">
        <v>1</v>
      </c>
      <c r="B46" s="12" t="s">
        <v>43</v>
      </c>
      <c r="C46" s="12" t="s">
        <v>32</v>
      </c>
      <c r="D46" s="19">
        <v>7040</v>
      </c>
      <c r="E46" s="3">
        <v>1.3</v>
      </c>
      <c r="F46" s="3">
        <v>58</v>
      </c>
      <c r="G46" s="16">
        <f>H46*100/F46</f>
        <v>103.44827586206897</v>
      </c>
      <c r="H46" s="3">
        <v>60</v>
      </c>
      <c r="I46" s="17">
        <f>1/(H46/(10*F46))</f>
        <v>9.6666666666666661</v>
      </c>
      <c r="J46" s="3">
        <v>0</v>
      </c>
      <c r="K46" s="17">
        <f>I46-(I46/100*J46)</f>
        <v>9.6666666666666661</v>
      </c>
      <c r="L46" s="8">
        <v>672</v>
      </c>
      <c r="M46" s="8">
        <f>E46*L46</f>
        <v>873.6</v>
      </c>
      <c r="N46" s="9">
        <f>A46/K46</f>
        <v>0.10344827586206898</v>
      </c>
      <c r="O46" s="9">
        <f>E46*N46</f>
        <v>0.13448275862068967</v>
      </c>
      <c r="P46" s="18">
        <f>O46*L46</f>
        <v>90.372413793103462</v>
      </c>
    </row>
    <row r="47" spans="1:17" ht="15.75" x14ac:dyDescent="0.25">
      <c r="A47" s="75">
        <v>1</v>
      </c>
      <c r="B47" s="76" t="s">
        <v>190</v>
      </c>
      <c r="C47" s="77"/>
      <c r="D47" s="75">
        <v>7040</v>
      </c>
      <c r="E47" s="77">
        <v>1.44</v>
      </c>
      <c r="F47" s="77">
        <v>65</v>
      </c>
      <c r="G47" s="78">
        <f>H47*(100+10)/F47</f>
        <v>101.53846153846153</v>
      </c>
      <c r="H47" s="79">
        <v>60</v>
      </c>
      <c r="I47" s="80">
        <f>1/(H47/(10*F47))</f>
        <v>10.833333333333332</v>
      </c>
      <c r="J47" s="79">
        <v>0</v>
      </c>
      <c r="K47" s="80">
        <f>I47-(I47/100*J47)</f>
        <v>10.833333333333332</v>
      </c>
      <c r="L47" s="81">
        <f>M47/E47</f>
        <v>729.46527777777783</v>
      </c>
      <c r="M47" s="81">
        <f>1050.43</f>
        <v>1050.43</v>
      </c>
      <c r="N47" s="82">
        <f>A47/K47</f>
        <v>9.2307692307692313E-2</v>
      </c>
      <c r="O47" s="82">
        <f>E47*N47</f>
        <v>0.13292307692307692</v>
      </c>
      <c r="P47" s="83">
        <f>N47*M47</f>
        <v>96.96276923076924</v>
      </c>
    </row>
    <row r="49" spans="1:16" ht="31.5" x14ac:dyDescent="0.25">
      <c r="A49" s="3">
        <v>1</v>
      </c>
      <c r="B49" s="12" t="s">
        <v>43</v>
      </c>
      <c r="C49" s="12" t="s">
        <v>32</v>
      </c>
      <c r="D49" s="19">
        <v>9006</v>
      </c>
      <c r="E49" s="3">
        <v>1.3</v>
      </c>
      <c r="F49" s="3">
        <v>58</v>
      </c>
      <c r="G49" s="16">
        <f>H49*100/F49</f>
        <v>103.44827586206897</v>
      </c>
      <c r="H49" s="3">
        <v>60</v>
      </c>
      <c r="I49" s="17">
        <f>1/(H49/(10*F49))</f>
        <v>9.6666666666666661</v>
      </c>
      <c r="J49" s="3">
        <v>0</v>
      </c>
      <c r="K49" s="17">
        <f>I49-(I49/100*J49)</f>
        <v>9.6666666666666661</v>
      </c>
      <c r="L49" s="8">
        <v>1056</v>
      </c>
      <c r="M49" s="8">
        <f>E49*L49</f>
        <v>1372.8</v>
      </c>
      <c r="N49" s="9">
        <f>A49/K49</f>
        <v>0.10344827586206898</v>
      </c>
      <c r="O49" s="9">
        <f>E49*N49</f>
        <v>0.13448275862068967</v>
      </c>
      <c r="P49" s="18">
        <f>O49*L49</f>
        <v>142.01379310344831</v>
      </c>
    </row>
    <row r="50" spans="1:16" ht="15.75" x14ac:dyDescent="0.25">
      <c r="A50" s="75">
        <v>1</v>
      </c>
      <c r="B50" s="76" t="s">
        <v>190</v>
      </c>
      <c r="C50" s="77"/>
      <c r="D50" s="75">
        <v>9006</v>
      </c>
      <c r="E50" s="77">
        <v>1.44</v>
      </c>
      <c r="F50" s="77">
        <v>65</v>
      </c>
      <c r="G50" s="78">
        <f>H50*(100+10)/F50</f>
        <v>101.53846153846153</v>
      </c>
      <c r="H50" s="79">
        <v>60</v>
      </c>
      <c r="I50" s="80">
        <f>1/(H50/(10*F50))</f>
        <v>10.833333333333332</v>
      </c>
      <c r="J50" s="79">
        <v>0</v>
      </c>
      <c r="K50" s="80">
        <f>I50-(I50/100*J50)</f>
        <v>10.833333333333332</v>
      </c>
      <c r="L50" s="81">
        <f>M50/E50</f>
        <v>788.71527777777783</v>
      </c>
      <c r="M50" s="81">
        <v>1135.75</v>
      </c>
      <c r="N50" s="82">
        <f>A50/K50</f>
        <v>9.2307692307692313E-2</v>
      </c>
      <c r="O50" s="82">
        <f>E50*N50</f>
        <v>0.13292307692307692</v>
      </c>
      <c r="P50" s="83">
        <f>N50*M50</f>
        <v>104.83846153846154</v>
      </c>
    </row>
    <row r="52" spans="1:16" ht="31.5" x14ac:dyDescent="0.25">
      <c r="A52" s="3">
        <v>1</v>
      </c>
      <c r="B52" s="12" t="s">
        <v>43</v>
      </c>
      <c r="C52" s="12" t="s">
        <v>32</v>
      </c>
      <c r="D52" s="19">
        <v>9003</v>
      </c>
      <c r="E52" s="3">
        <v>1.3</v>
      </c>
      <c r="F52" s="3">
        <v>58</v>
      </c>
      <c r="G52" s="16">
        <f>H52*100/F52</f>
        <v>103.44827586206897</v>
      </c>
      <c r="H52" s="3">
        <v>60</v>
      </c>
      <c r="I52" s="17">
        <f>1/(H52/(10*F52))</f>
        <v>9.6666666666666661</v>
      </c>
      <c r="J52" s="3">
        <v>0</v>
      </c>
      <c r="K52" s="17">
        <f>I52-(I52/100*J52)</f>
        <v>9.6666666666666661</v>
      </c>
      <c r="L52" s="8">
        <v>770</v>
      </c>
      <c r="M52" s="8">
        <f>E52*L52</f>
        <v>1001</v>
      </c>
      <c r="N52" s="9">
        <f>A52/K52</f>
        <v>0.10344827586206898</v>
      </c>
      <c r="O52" s="9">
        <f>E52*N52</f>
        <v>0.13448275862068967</v>
      </c>
      <c r="P52" s="18">
        <f>O52*L52</f>
        <v>103.55172413793105</v>
      </c>
    </row>
    <row r="53" spans="1:16" ht="15.75" x14ac:dyDescent="0.25">
      <c r="A53" s="75">
        <v>1</v>
      </c>
      <c r="B53" s="76" t="s">
        <v>190</v>
      </c>
      <c r="C53" s="77"/>
      <c r="D53" s="75">
        <v>9003</v>
      </c>
      <c r="E53" s="77">
        <v>1.44</v>
      </c>
      <c r="F53" s="77">
        <v>65</v>
      </c>
      <c r="G53" s="78">
        <f>H53*(100+10)/F53</f>
        <v>101.53846153846153</v>
      </c>
      <c r="H53" s="79">
        <v>60</v>
      </c>
      <c r="I53" s="80">
        <f>1/(H53/(10*F53))</f>
        <v>10.833333333333332</v>
      </c>
      <c r="J53" s="79">
        <v>0</v>
      </c>
      <c r="K53" s="80">
        <f>I53-(I53/100*J53)</f>
        <v>10.833333333333332</v>
      </c>
      <c r="L53" s="81">
        <f>M53/E53</f>
        <v>788.71527777777783</v>
      </c>
      <c r="M53" s="81">
        <v>1135.75</v>
      </c>
      <c r="N53" s="82">
        <f>A53/K53</f>
        <v>9.2307692307692313E-2</v>
      </c>
      <c r="O53" s="82">
        <f>E53*N53</f>
        <v>0.13292307692307692</v>
      </c>
      <c r="P53" s="83">
        <f>N53*M53</f>
        <v>104.83846153846154</v>
      </c>
    </row>
    <row r="55" spans="1:16" ht="31.5" x14ac:dyDescent="0.25">
      <c r="A55" s="3">
        <v>1</v>
      </c>
      <c r="B55" s="12" t="s">
        <v>43</v>
      </c>
      <c r="C55" s="12" t="s">
        <v>32</v>
      </c>
      <c r="D55" s="19">
        <v>1021</v>
      </c>
      <c r="E55" s="3">
        <v>1.3</v>
      </c>
      <c r="F55" s="3">
        <v>58</v>
      </c>
      <c r="G55" s="16">
        <f>H55*100/F55</f>
        <v>103.44827586206897</v>
      </c>
      <c r="H55" s="3">
        <v>60</v>
      </c>
      <c r="I55" s="17">
        <f>1/(H55/(10*F55))</f>
        <v>9.6666666666666661</v>
      </c>
      <c r="J55" s="3">
        <v>0</v>
      </c>
      <c r="K55" s="17">
        <f>I55-(I55/100*J55)</f>
        <v>9.6666666666666661</v>
      </c>
      <c r="L55" s="8">
        <v>931</v>
      </c>
      <c r="M55" s="8">
        <f>E55*L55</f>
        <v>1210.3</v>
      </c>
      <c r="N55" s="9">
        <f>A55/K55</f>
        <v>0.10344827586206898</v>
      </c>
      <c r="O55" s="9">
        <f>E55*N55</f>
        <v>0.13448275862068967</v>
      </c>
      <c r="P55" s="18">
        <f>O55*L55</f>
        <v>125.20344827586209</v>
      </c>
    </row>
    <row r="56" spans="1:16" ht="15.75" x14ac:dyDescent="0.25">
      <c r="A56" s="75">
        <v>1</v>
      </c>
      <c r="B56" s="76" t="s">
        <v>190</v>
      </c>
      <c r="C56" s="77"/>
      <c r="D56" s="75">
        <v>1021</v>
      </c>
      <c r="E56" s="77">
        <v>1.44</v>
      </c>
      <c r="F56" s="77">
        <v>65</v>
      </c>
      <c r="G56" s="78">
        <f>H56*(100+10)/F56</f>
        <v>101.53846153846153</v>
      </c>
      <c r="H56" s="79">
        <v>60</v>
      </c>
      <c r="I56" s="80">
        <f>1/(H56/(10*F56))</f>
        <v>10.833333333333332</v>
      </c>
      <c r="J56" s="79">
        <v>0</v>
      </c>
      <c r="K56" s="80">
        <f>I56-(I56/100*J56)</f>
        <v>10.833333333333332</v>
      </c>
      <c r="L56" s="81">
        <f>M56/E56</f>
        <v>788.71527777777783</v>
      </c>
      <c r="M56" s="81">
        <v>1135.75</v>
      </c>
      <c r="N56" s="82">
        <f>A56/K56</f>
        <v>9.2307692307692313E-2</v>
      </c>
      <c r="O56" s="82">
        <f>E56*N56</f>
        <v>0.13292307692307692</v>
      </c>
      <c r="P56" s="83">
        <f>N56*M56</f>
        <v>104.83846153846154</v>
      </c>
    </row>
    <row r="58" spans="1:16" ht="31.5" x14ac:dyDescent="0.25">
      <c r="A58" s="3">
        <v>1</v>
      </c>
      <c r="B58" s="12" t="s">
        <v>43</v>
      </c>
      <c r="C58" s="12" t="s">
        <v>32</v>
      </c>
      <c r="D58" s="19">
        <v>3020</v>
      </c>
      <c r="E58" s="3">
        <v>1.3</v>
      </c>
      <c r="F58" s="3">
        <v>58</v>
      </c>
      <c r="G58" s="16">
        <f>H58*100/F58</f>
        <v>103.44827586206897</v>
      </c>
      <c r="H58" s="3">
        <v>60</v>
      </c>
      <c r="I58" s="17">
        <f>1/(H58/(10*F58))</f>
        <v>9.6666666666666661</v>
      </c>
      <c r="J58" s="3">
        <v>0</v>
      </c>
      <c r="K58" s="17">
        <f>I58-(I58/100*J58)</f>
        <v>9.6666666666666661</v>
      </c>
      <c r="L58" s="8">
        <v>1142</v>
      </c>
      <c r="M58" s="8">
        <f>E58*L58</f>
        <v>1484.6000000000001</v>
      </c>
      <c r="N58" s="9">
        <f>A58/K58</f>
        <v>0.10344827586206898</v>
      </c>
      <c r="O58" s="9">
        <f>E58*N58</f>
        <v>0.13448275862068967</v>
      </c>
      <c r="P58" s="18">
        <f>O58*L58</f>
        <v>153.5793103448276</v>
      </c>
    </row>
    <row r="59" spans="1:16" ht="15.75" x14ac:dyDescent="0.25">
      <c r="A59" s="75">
        <v>1</v>
      </c>
      <c r="B59" s="76" t="s">
        <v>190</v>
      </c>
      <c r="C59" s="77"/>
      <c r="D59" s="75">
        <v>3020</v>
      </c>
      <c r="E59" s="77">
        <v>1.44</v>
      </c>
      <c r="F59" s="77">
        <v>65</v>
      </c>
      <c r="G59" s="78">
        <f>H59*(100+10)/F59</f>
        <v>101.53846153846153</v>
      </c>
      <c r="H59" s="79">
        <v>60</v>
      </c>
      <c r="I59" s="80">
        <f>1/(H59/(10*F59))</f>
        <v>10.833333333333332</v>
      </c>
      <c r="J59" s="79">
        <v>0</v>
      </c>
      <c r="K59" s="80">
        <f>I59-(I59/100*J59)</f>
        <v>10.833333333333332</v>
      </c>
      <c r="L59" s="81">
        <f>M59/E59</f>
        <v>788.71527777777783</v>
      </c>
      <c r="M59" s="81">
        <v>1135.75</v>
      </c>
      <c r="N59" s="82">
        <f>A59/K59</f>
        <v>9.2307692307692313E-2</v>
      </c>
      <c r="O59" s="82">
        <f>E59*N59</f>
        <v>0.13292307692307692</v>
      </c>
      <c r="P59" s="83">
        <f>N59*M59</f>
        <v>104.83846153846154</v>
      </c>
    </row>
    <row r="61" spans="1:16" ht="31.5" x14ac:dyDescent="0.25">
      <c r="A61" s="3">
        <v>1</v>
      </c>
      <c r="B61" s="12" t="s">
        <v>43</v>
      </c>
      <c r="C61" s="12" t="s">
        <v>32</v>
      </c>
      <c r="D61" s="19">
        <v>9010</v>
      </c>
      <c r="E61" s="3">
        <v>1.3</v>
      </c>
      <c r="F61" s="3">
        <v>58</v>
      </c>
      <c r="G61" s="16">
        <f>H61*100/F61</f>
        <v>103.44827586206897</v>
      </c>
      <c r="H61" s="3">
        <v>60</v>
      </c>
      <c r="I61" s="17">
        <f>1/(H61/(10*F61))</f>
        <v>9.6666666666666661</v>
      </c>
      <c r="J61" s="3">
        <v>0</v>
      </c>
      <c r="K61" s="17">
        <f>I61-(I61/100*J61)</f>
        <v>9.6666666666666661</v>
      </c>
      <c r="L61" s="8">
        <v>620</v>
      </c>
      <c r="M61" s="8">
        <f>E61*L61</f>
        <v>806</v>
      </c>
      <c r="N61" s="9">
        <f>A61/K61</f>
        <v>0.10344827586206898</v>
      </c>
      <c r="O61" s="9">
        <f>E61*N61</f>
        <v>0.13448275862068967</v>
      </c>
      <c r="P61" s="18">
        <f>O61*L61</f>
        <v>83.379310344827601</v>
      </c>
    </row>
    <row r="62" spans="1:16" ht="15.75" x14ac:dyDescent="0.25">
      <c r="A62" s="75">
        <v>1</v>
      </c>
      <c r="B62" s="76" t="s">
        <v>190</v>
      </c>
      <c r="C62" s="77"/>
      <c r="D62" s="75">
        <v>9010</v>
      </c>
      <c r="E62" s="77">
        <v>1.44</v>
      </c>
      <c r="F62" s="77">
        <v>65</v>
      </c>
      <c r="G62" s="78">
        <f>H62*(100+10)/F62</f>
        <v>101.53846153846153</v>
      </c>
      <c r="H62" s="79">
        <v>60</v>
      </c>
      <c r="I62" s="80">
        <f>1/(H62/(10*F62))</f>
        <v>10.833333333333332</v>
      </c>
      <c r="J62" s="79">
        <v>0</v>
      </c>
      <c r="K62" s="80">
        <f>I62-(I62/100*J62)</f>
        <v>10.833333333333332</v>
      </c>
      <c r="L62" s="81">
        <f>M62/E62</f>
        <v>0</v>
      </c>
      <c r="M62" s="81">
        <v>0</v>
      </c>
      <c r="N62" s="82">
        <f>A62/K62</f>
        <v>9.2307692307692313E-2</v>
      </c>
      <c r="O62" s="82">
        <f>E62*N62</f>
        <v>0.13292307692307692</v>
      </c>
      <c r="P62" s="83">
        <f>N62*M62</f>
        <v>0</v>
      </c>
    </row>
  </sheetData>
  <mergeCells count="72">
    <mergeCell ref="L30:L32"/>
    <mergeCell ref="M30:M32"/>
    <mergeCell ref="N30:N32"/>
    <mergeCell ref="O30:O32"/>
    <mergeCell ref="H31:H32"/>
    <mergeCell ref="I31:I32"/>
    <mergeCell ref="J31:J32"/>
    <mergeCell ref="K31:K32"/>
    <mergeCell ref="G30:H30"/>
    <mergeCell ref="I30:K30"/>
    <mergeCell ref="A30:A32"/>
    <mergeCell ref="B30:B32"/>
    <mergeCell ref="C30:C32"/>
    <mergeCell ref="D30:D32"/>
    <mergeCell ref="E30:E32"/>
    <mergeCell ref="F30:F32"/>
    <mergeCell ref="P21:P23"/>
    <mergeCell ref="G22:G23"/>
    <mergeCell ref="H22:H23"/>
    <mergeCell ref="I22:I23"/>
    <mergeCell ref="J22:J23"/>
    <mergeCell ref="K22:K23"/>
    <mergeCell ref="G21:H21"/>
    <mergeCell ref="I21:K21"/>
    <mergeCell ref="L21:L23"/>
    <mergeCell ref="M21:M23"/>
    <mergeCell ref="N21:N23"/>
    <mergeCell ref="O21:O23"/>
    <mergeCell ref="F21:F23"/>
    <mergeCell ref="P30:P32"/>
    <mergeCell ref="G31:G32"/>
    <mergeCell ref="I12:K12"/>
    <mergeCell ref="L12:L14"/>
    <mergeCell ref="A21:A23"/>
    <mergeCell ref="B21:B23"/>
    <mergeCell ref="C21:C23"/>
    <mergeCell ref="D21:D23"/>
    <mergeCell ref="E21:E23"/>
    <mergeCell ref="N12:N14"/>
    <mergeCell ref="O12:O14"/>
    <mergeCell ref="P12:P14"/>
    <mergeCell ref="K13:K14"/>
    <mergeCell ref="A12:A14"/>
    <mergeCell ref="B12:B14"/>
    <mergeCell ref="C12:C14"/>
    <mergeCell ref="D12:D14"/>
    <mergeCell ref="M12:M14"/>
    <mergeCell ref="G13:G14"/>
    <mergeCell ref="H13:H14"/>
    <mergeCell ref="I13:I14"/>
    <mergeCell ref="J13:J14"/>
    <mergeCell ref="E12:E14"/>
    <mergeCell ref="F12:F14"/>
    <mergeCell ref="G12:H12"/>
    <mergeCell ref="P1:P3"/>
    <mergeCell ref="G2:G3"/>
    <mergeCell ref="H2:H3"/>
    <mergeCell ref="I2:I3"/>
    <mergeCell ref="J2:J3"/>
    <mergeCell ref="K2:K3"/>
    <mergeCell ref="G1:H1"/>
    <mergeCell ref="I1:K1"/>
    <mergeCell ref="L1:L3"/>
    <mergeCell ref="M1:M3"/>
    <mergeCell ref="N1:N3"/>
    <mergeCell ref="O1:O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J74"/>
  <sheetViews>
    <sheetView topLeftCell="A20" workbookViewId="0">
      <selection activeCell="J59" sqref="J59"/>
    </sheetView>
  </sheetViews>
  <sheetFormatPr defaultRowHeight="15" x14ac:dyDescent="0.25"/>
  <cols>
    <col min="1" max="3" width="9.140625" style="14"/>
    <col min="4" max="4" width="25.28515625" style="14" customWidth="1"/>
    <col min="5" max="16384" width="9.140625" style="14"/>
  </cols>
  <sheetData>
    <row r="3" spans="2:6" ht="73.5" customHeight="1" x14ac:dyDescent="0.25">
      <c r="B3" s="405" t="s">
        <v>143</v>
      </c>
      <c r="C3" s="405"/>
      <c r="D3" s="405"/>
      <c r="E3" s="405"/>
      <c r="F3" s="405"/>
    </row>
    <row r="4" spans="2:6" ht="18" customHeight="1" x14ac:dyDescent="0.25">
      <c r="B4" s="406"/>
      <c r="C4" s="406"/>
      <c r="D4" s="406"/>
      <c r="E4" s="407"/>
      <c r="F4" s="407"/>
    </row>
    <row r="5" spans="2:6" x14ac:dyDescent="0.25">
      <c r="B5" s="408" t="s">
        <v>139</v>
      </c>
      <c r="C5" s="408"/>
      <c r="D5" s="187" t="s">
        <v>140</v>
      </c>
      <c r="E5" s="410">
        <v>192</v>
      </c>
      <c r="F5" s="410"/>
    </row>
    <row r="6" spans="2:6" x14ac:dyDescent="0.25">
      <c r="B6" s="408"/>
      <c r="C6" s="408"/>
      <c r="D6" s="186" t="s">
        <v>141</v>
      </c>
      <c r="E6" s="411">
        <v>197</v>
      </c>
      <c r="F6" s="411"/>
    </row>
    <row r="7" spans="2:6" x14ac:dyDescent="0.25">
      <c r="B7" s="408"/>
      <c r="C7" s="408"/>
      <c r="D7" s="187" t="s">
        <v>142</v>
      </c>
      <c r="E7" s="410">
        <v>201</v>
      </c>
      <c r="F7" s="410"/>
    </row>
    <row r="8" spans="2:6" x14ac:dyDescent="0.25">
      <c r="B8" s="408"/>
      <c r="C8" s="408"/>
      <c r="D8" s="186" t="s">
        <v>144</v>
      </c>
      <c r="E8" s="411">
        <v>211</v>
      </c>
      <c r="F8" s="411"/>
    </row>
    <row r="11" spans="2:6" x14ac:dyDescent="0.25">
      <c r="B11" s="405" t="s">
        <v>145</v>
      </c>
      <c r="C11" s="405"/>
      <c r="D11" s="405"/>
      <c r="E11" s="405"/>
      <c r="F11" s="405"/>
    </row>
    <row r="12" spans="2:6" x14ac:dyDescent="0.25">
      <c r="B12" s="406"/>
      <c r="C12" s="406"/>
      <c r="D12" s="406"/>
      <c r="E12" s="407"/>
      <c r="F12" s="407"/>
    </row>
    <row r="13" spans="2:6" x14ac:dyDescent="0.25">
      <c r="B13" s="408" t="s">
        <v>139</v>
      </c>
      <c r="C13" s="408"/>
      <c r="D13" s="187" t="s">
        <v>140</v>
      </c>
      <c r="E13" s="410">
        <v>139</v>
      </c>
      <c r="F13" s="410"/>
    </row>
    <row r="14" spans="2:6" x14ac:dyDescent="0.25">
      <c r="B14" s="408"/>
      <c r="C14" s="408"/>
      <c r="D14" s="186" t="s">
        <v>141</v>
      </c>
      <c r="E14" s="411">
        <v>142</v>
      </c>
      <c r="F14" s="411"/>
    </row>
    <row r="15" spans="2:6" x14ac:dyDescent="0.25">
      <c r="B15" s="408"/>
      <c r="C15" s="408"/>
      <c r="D15" s="187" t="s">
        <v>142</v>
      </c>
      <c r="E15" s="410">
        <v>146</v>
      </c>
      <c r="F15" s="410"/>
    </row>
    <row r="16" spans="2:6" x14ac:dyDescent="0.25">
      <c r="B16" s="408"/>
      <c r="C16" s="408"/>
      <c r="D16" s="186" t="s">
        <v>144</v>
      </c>
      <c r="E16" s="411">
        <v>153</v>
      </c>
      <c r="F16" s="411"/>
    </row>
    <row r="19" spans="2:6" x14ac:dyDescent="0.25">
      <c r="B19" s="405" t="s">
        <v>146</v>
      </c>
      <c r="C19" s="405"/>
      <c r="D19" s="405"/>
      <c r="E19" s="405"/>
      <c r="F19" s="405"/>
    </row>
    <row r="20" spans="2:6" x14ac:dyDescent="0.25">
      <c r="B20" s="406"/>
      <c r="C20" s="406"/>
      <c r="D20" s="406"/>
      <c r="E20" s="407"/>
      <c r="F20" s="407"/>
    </row>
    <row r="21" spans="2:6" x14ac:dyDescent="0.25">
      <c r="B21" s="408" t="s">
        <v>139</v>
      </c>
      <c r="C21" s="408"/>
      <c r="D21" s="187" t="s">
        <v>140</v>
      </c>
      <c r="E21" s="410">
        <v>278</v>
      </c>
      <c r="F21" s="410"/>
    </row>
    <row r="22" spans="2:6" x14ac:dyDescent="0.25">
      <c r="B22" s="408"/>
      <c r="C22" s="408"/>
      <c r="D22" s="186" t="s">
        <v>141</v>
      </c>
      <c r="E22" s="411">
        <v>285</v>
      </c>
      <c r="F22" s="411"/>
    </row>
    <row r="23" spans="2:6" x14ac:dyDescent="0.25">
      <c r="B23" s="408"/>
      <c r="C23" s="408"/>
      <c r="D23" s="187" t="s">
        <v>142</v>
      </c>
      <c r="E23" s="410">
        <v>292</v>
      </c>
      <c r="F23" s="410"/>
    </row>
    <row r="24" spans="2:6" x14ac:dyDescent="0.25">
      <c r="B24" s="408"/>
      <c r="C24" s="408"/>
      <c r="D24" s="186" t="s">
        <v>144</v>
      </c>
      <c r="E24" s="411">
        <v>306</v>
      </c>
      <c r="F24" s="411"/>
    </row>
    <row r="28" spans="2:6" x14ac:dyDescent="0.25">
      <c r="B28" s="405" t="s">
        <v>147</v>
      </c>
      <c r="C28" s="405"/>
      <c r="D28" s="405"/>
      <c r="E28" s="405"/>
      <c r="F28" s="405"/>
    </row>
    <row r="29" spans="2:6" x14ac:dyDescent="0.25">
      <c r="B29" s="406"/>
      <c r="C29" s="406"/>
      <c r="D29" s="406"/>
      <c r="E29" s="407"/>
      <c r="F29" s="407"/>
    </row>
    <row r="30" spans="2:6" x14ac:dyDescent="0.25">
      <c r="B30" s="408" t="s">
        <v>139</v>
      </c>
      <c r="C30" s="408"/>
      <c r="D30" s="187" t="s">
        <v>140</v>
      </c>
      <c r="E30" s="410">
        <v>103</v>
      </c>
      <c r="F30" s="410"/>
    </row>
    <row r="31" spans="2:6" x14ac:dyDescent="0.25">
      <c r="B31" s="408"/>
      <c r="C31" s="408"/>
      <c r="D31" s="186" t="s">
        <v>141</v>
      </c>
      <c r="E31" s="411">
        <v>106</v>
      </c>
      <c r="F31" s="411"/>
    </row>
    <row r="32" spans="2:6" x14ac:dyDescent="0.25">
      <c r="B32" s="408"/>
      <c r="C32" s="408"/>
      <c r="D32" s="187" t="s">
        <v>142</v>
      </c>
      <c r="E32" s="410">
        <v>109</v>
      </c>
      <c r="F32" s="410"/>
    </row>
    <row r="33" spans="2:10" x14ac:dyDescent="0.25">
      <c r="B33" s="408"/>
      <c r="C33" s="408"/>
      <c r="D33" s="186" t="s">
        <v>144</v>
      </c>
      <c r="E33" s="411">
        <v>114</v>
      </c>
      <c r="F33" s="411"/>
    </row>
    <row r="36" spans="2:10" x14ac:dyDescent="0.25">
      <c r="B36" s="405" t="s">
        <v>263</v>
      </c>
      <c r="C36" s="405"/>
      <c r="D36" s="405"/>
      <c r="E36" s="405"/>
      <c r="F36" s="405"/>
    </row>
    <row r="37" spans="2:10" ht="21.6" customHeight="1" x14ac:dyDescent="0.25">
      <c r="B37" s="406"/>
      <c r="C37" s="406"/>
      <c r="D37" s="406"/>
      <c r="E37" s="407"/>
      <c r="F37" s="407"/>
      <c r="H37" s="14">
        <v>140</v>
      </c>
      <c r="I37" s="14">
        <v>85</v>
      </c>
    </row>
    <row r="38" spans="2:10" x14ac:dyDescent="0.25">
      <c r="B38" s="408" t="s">
        <v>139</v>
      </c>
      <c r="C38" s="408"/>
      <c r="D38" s="187" t="s">
        <v>140</v>
      </c>
      <c r="E38" s="409">
        <f>$H$37/$I$37*(100+J38)</f>
        <v>164.70588235294116</v>
      </c>
      <c r="F38" s="409"/>
      <c r="J38" s="14">
        <v>0</v>
      </c>
    </row>
    <row r="39" spans="2:10" x14ac:dyDescent="0.25">
      <c r="B39" s="408"/>
      <c r="C39" s="408"/>
      <c r="D39" s="186" t="s">
        <v>141</v>
      </c>
      <c r="E39" s="409">
        <f t="shared" ref="E39:E41" si="0">$H$37/$I$37*(100+J39)</f>
        <v>168.8235294117647</v>
      </c>
      <c r="F39" s="409"/>
      <c r="J39" s="14">
        <v>2.5</v>
      </c>
    </row>
    <row r="40" spans="2:10" x14ac:dyDescent="0.25">
      <c r="B40" s="408"/>
      <c r="C40" s="408"/>
      <c r="D40" s="187" t="s">
        <v>142</v>
      </c>
      <c r="E40" s="409">
        <f t="shared" si="0"/>
        <v>172.94117647058823</v>
      </c>
      <c r="F40" s="409"/>
      <c r="J40" s="14">
        <v>5</v>
      </c>
    </row>
    <row r="41" spans="2:10" ht="42" customHeight="1" x14ac:dyDescent="0.25">
      <c r="B41" s="408"/>
      <c r="C41" s="408"/>
      <c r="D41" s="186" t="s">
        <v>262</v>
      </c>
      <c r="E41" s="409">
        <f t="shared" si="0"/>
        <v>177.05882352941177</v>
      </c>
      <c r="F41" s="409"/>
      <c r="J41" s="14">
        <v>7.5</v>
      </c>
    </row>
    <row r="44" spans="2:10" x14ac:dyDescent="0.25">
      <c r="B44" s="405" t="s">
        <v>264</v>
      </c>
      <c r="C44" s="405"/>
      <c r="D44" s="405"/>
      <c r="E44" s="405"/>
      <c r="F44" s="405"/>
      <c r="H44" s="14">
        <v>240</v>
      </c>
      <c r="I44" s="14">
        <v>85</v>
      </c>
    </row>
    <row r="45" spans="2:10" x14ac:dyDescent="0.25">
      <c r="B45" s="406"/>
      <c r="C45" s="406"/>
      <c r="D45" s="406"/>
      <c r="E45" s="407"/>
      <c r="F45" s="407"/>
      <c r="J45" s="14">
        <v>0</v>
      </c>
    </row>
    <row r="46" spans="2:10" x14ac:dyDescent="0.25">
      <c r="B46" s="408" t="s">
        <v>139</v>
      </c>
      <c r="C46" s="408"/>
      <c r="D46" s="187" t="s">
        <v>140</v>
      </c>
      <c r="E46" s="409">
        <f>$H$44/$I$44*(100+J45)</f>
        <v>282.35294117647061</v>
      </c>
      <c r="F46" s="409"/>
      <c r="J46" s="14">
        <v>2.5</v>
      </c>
    </row>
    <row r="47" spans="2:10" x14ac:dyDescent="0.25">
      <c r="B47" s="408"/>
      <c r="C47" s="408"/>
      <c r="D47" s="186" t="s">
        <v>141</v>
      </c>
      <c r="E47" s="409">
        <f t="shared" ref="E47:E49" si="1">$H$44/$I$44*(100+J46)</f>
        <v>289.41176470588238</v>
      </c>
      <c r="F47" s="409"/>
      <c r="J47" s="14">
        <v>5</v>
      </c>
    </row>
    <row r="48" spans="2:10" x14ac:dyDescent="0.25">
      <c r="B48" s="408"/>
      <c r="C48" s="408"/>
      <c r="D48" s="187" t="s">
        <v>142</v>
      </c>
      <c r="E48" s="409">
        <f t="shared" si="1"/>
        <v>296.47058823529414</v>
      </c>
      <c r="F48" s="409"/>
      <c r="J48" s="14">
        <v>7.5</v>
      </c>
    </row>
    <row r="49" spans="2:10" ht="37.15" customHeight="1" x14ac:dyDescent="0.25">
      <c r="B49" s="408"/>
      <c r="C49" s="408"/>
      <c r="D49" s="186" t="s">
        <v>262</v>
      </c>
      <c r="E49" s="409">
        <f t="shared" si="1"/>
        <v>303.52941176470591</v>
      </c>
      <c r="F49" s="409"/>
    </row>
    <row r="53" spans="2:10" x14ac:dyDescent="0.25">
      <c r="B53" s="405" t="s">
        <v>375</v>
      </c>
      <c r="C53" s="405"/>
      <c r="D53" s="405"/>
      <c r="E53" s="405"/>
      <c r="F53" s="405"/>
      <c r="H53" s="14">
        <v>180</v>
      </c>
      <c r="I53" s="14">
        <v>73</v>
      </c>
    </row>
    <row r="54" spans="2:10" x14ac:dyDescent="0.25">
      <c r="B54" s="406"/>
      <c r="C54" s="406"/>
      <c r="D54" s="406"/>
      <c r="E54" s="407"/>
      <c r="F54" s="407"/>
    </row>
    <row r="55" spans="2:10" ht="26.25" customHeight="1" x14ac:dyDescent="0.25">
      <c r="B55" s="408" t="s">
        <v>139</v>
      </c>
      <c r="C55" s="408"/>
      <c r="D55" s="187" t="s">
        <v>140</v>
      </c>
      <c r="E55" s="410">
        <f>ROUNDUP($H$53*(100+J55)/$I$53,0)</f>
        <v>247</v>
      </c>
      <c r="F55" s="410"/>
      <c r="J55" s="14">
        <v>0</v>
      </c>
    </row>
    <row r="56" spans="2:10" ht="27" customHeight="1" x14ac:dyDescent="0.25">
      <c r="B56" s="408"/>
      <c r="C56" s="408"/>
      <c r="D56" s="186" t="s">
        <v>376</v>
      </c>
      <c r="E56" s="410">
        <f t="shared" ref="E56:E58" si="2">ROUNDUP($H$53*(100+J56)/$I$53,0)</f>
        <v>254</v>
      </c>
      <c r="F56" s="410"/>
      <c r="J56" s="14">
        <v>3</v>
      </c>
    </row>
    <row r="57" spans="2:10" ht="24.75" customHeight="1" x14ac:dyDescent="0.25">
      <c r="B57" s="408"/>
      <c r="C57" s="408"/>
      <c r="D57" s="187" t="s">
        <v>142</v>
      </c>
      <c r="E57" s="410">
        <f t="shared" si="2"/>
        <v>259</v>
      </c>
      <c r="F57" s="410"/>
      <c r="J57" s="14">
        <v>5</v>
      </c>
    </row>
    <row r="58" spans="2:10" ht="41.25" customHeight="1" x14ac:dyDescent="0.25">
      <c r="B58" s="408"/>
      <c r="C58" s="408"/>
      <c r="D58" s="186" t="s">
        <v>377</v>
      </c>
      <c r="E58" s="410">
        <f t="shared" si="2"/>
        <v>264</v>
      </c>
      <c r="F58" s="410"/>
      <c r="J58" s="14">
        <v>7</v>
      </c>
    </row>
    <row r="61" spans="2:10" x14ac:dyDescent="0.25">
      <c r="B61" s="405" t="s">
        <v>263</v>
      </c>
      <c r="C61" s="405"/>
      <c r="D61" s="405"/>
      <c r="E61" s="405"/>
      <c r="F61" s="405"/>
      <c r="H61" s="14">
        <v>140</v>
      </c>
      <c r="I61" s="14">
        <v>85</v>
      </c>
    </row>
    <row r="62" spans="2:10" x14ac:dyDescent="0.25">
      <c r="B62" s="406"/>
      <c r="C62" s="406"/>
      <c r="D62" s="406"/>
      <c r="E62" s="407"/>
      <c r="F62" s="407"/>
    </row>
    <row r="63" spans="2:10" ht="22.5" customHeight="1" x14ac:dyDescent="0.25">
      <c r="B63" s="408" t="s">
        <v>139</v>
      </c>
      <c r="C63" s="408"/>
      <c r="D63" s="187" t="s">
        <v>140</v>
      </c>
      <c r="E63" s="410">
        <f>ROUNDUP($H$61*(100+J63)/$I$61,0)</f>
        <v>165</v>
      </c>
      <c r="F63" s="410"/>
      <c r="J63" s="14">
        <v>0</v>
      </c>
    </row>
    <row r="64" spans="2:10" ht="21.75" customHeight="1" x14ac:dyDescent="0.25">
      <c r="B64" s="408"/>
      <c r="C64" s="408"/>
      <c r="D64" s="186" t="s">
        <v>142</v>
      </c>
      <c r="E64" s="410">
        <f t="shared" ref="E64:E66" si="3">ROUNDUP($H$61*(100+J64)/$I$61,0)</f>
        <v>173</v>
      </c>
      <c r="F64" s="410"/>
      <c r="J64" s="14">
        <v>5</v>
      </c>
    </row>
    <row r="65" spans="2:10" ht="29.25" customHeight="1" x14ac:dyDescent="0.25">
      <c r="B65" s="408"/>
      <c r="C65" s="408"/>
      <c r="D65" s="187" t="s">
        <v>374</v>
      </c>
      <c r="E65" s="410">
        <f t="shared" si="3"/>
        <v>177</v>
      </c>
      <c r="F65" s="410"/>
      <c r="J65" s="14">
        <v>7</v>
      </c>
    </row>
    <row r="66" spans="2:10" ht="31.5" customHeight="1" x14ac:dyDescent="0.25">
      <c r="B66" s="408"/>
      <c r="C66" s="408"/>
      <c r="D66" s="186" t="s">
        <v>144</v>
      </c>
      <c r="E66" s="410">
        <f t="shared" si="3"/>
        <v>182</v>
      </c>
      <c r="F66" s="410"/>
      <c r="J66" s="14">
        <v>10</v>
      </c>
    </row>
    <row r="69" spans="2:10" x14ac:dyDescent="0.25">
      <c r="B69" s="405" t="s">
        <v>147</v>
      </c>
      <c r="C69" s="405"/>
      <c r="D69" s="405"/>
      <c r="E69" s="405"/>
      <c r="F69" s="405"/>
      <c r="H69" s="14">
        <v>60</v>
      </c>
      <c r="I69" s="14">
        <v>58</v>
      </c>
    </row>
    <row r="70" spans="2:10" ht="23.25" customHeight="1" x14ac:dyDescent="0.25">
      <c r="B70" s="406"/>
      <c r="C70" s="406"/>
      <c r="D70" s="406"/>
      <c r="E70" s="407"/>
      <c r="F70" s="407"/>
    </row>
    <row r="71" spans="2:10" ht="21" customHeight="1" x14ac:dyDescent="0.25">
      <c r="B71" s="408" t="s">
        <v>139</v>
      </c>
      <c r="C71" s="408"/>
      <c r="D71" s="187" t="s">
        <v>140</v>
      </c>
      <c r="E71" s="410">
        <f>ROUNDUP($H$69*(100+J71)/$I$69,0)</f>
        <v>104</v>
      </c>
      <c r="F71" s="410"/>
      <c r="J71" s="14">
        <v>0</v>
      </c>
    </row>
    <row r="72" spans="2:10" ht="27.75" customHeight="1" x14ac:dyDescent="0.25">
      <c r="B72" s="408"/>
      <c r="C72" s="408"/>
      <c r="D72" s="186" t="s">
        <v>142</v>
      </c>
      <c r="E72" s="410">
        <f t="shared" ref="E72:E74" si="4">ROUNDUP($H$69*(100+J72)/$I$69,0)</f>
        <v>109</v>
      </c>
      <c r="F72" s="410"/>
      <c r="J72" s="14">
        <v>5</v>
      </c>
    </row>
    <row r="73" spans="2:10" ht="24.75" customHeight="1" x14ac:dyDescent="0.25">
      <c r="B73" s="408"/>
      <c r="C73" s="408"/>
      <c r="D73" s="187" t="s">
        <v>374</v>
      </c>
      <c r="E73" s="410">
        <f t="shared" si="4"/>
        <v>111</v>
      </c>
      <c r="F73" s="410"/>
      <c r="J73" s="14">
        <v>7</v>
      </c>
    </row>
    <row r="74" spans="2:10" ht="27" customHeight="1" x14ac:dyDescent="0.25">
      <c r="B74" s="408"/>
      <c r="C74" s="408"/>
      <c r="D74" s="186" t="s">
        <v>144</v>
      </c>
      <c r="E74" s="410">
        <f t="shared" si="4"/>
        <v>114</v>
      </c>
      <c r="F74" s="410"/>
      <c r="J74" s="14">
        <v>10</v>
      </c>
    </row>
  </sheetData>
  <mergeCells count="72">
    <mergeCell ref="B69:F69"/>
    <mergeCell ref="B70:D70"/>
    <mergeCell ref="E70:F70"/>
    <mergeCell ref="B71:C74"/>
    <mergeCell ref="E71:F71"/>
    <mergeCell ref="E72:F72"/>
    <mergeCell ref="E73:F73"/>
    <mergeCell ref="E74:F74"/>
    <mergeCell ref="B61:F61"/>
    <mergeCell ref="B62:D62"/>
    <mergeCell ref="E62:F62"/>
    <mergeCell ref="B63:C66"/>
    <mergeCell ref="E63:F63"/>
    <mergeCell ref="E64:F64"/>
    <mergeCell ref="E65:F65"/>
    <mergeCell ref="E66:F66"/>
    <mergeCell ref="B53:F53"/>
    <mergeCell ref="B54:D54"/>
    <mergeCell ref="E54:F54"/>
    <mergeCell ref="B55:C58"/>
    <mergeCell ref="E55:F55"/>
    <mergeCell ref="E56:F56"/>
    <mergeCell ref="E57:F57"/>
    <mergeCell ref="E58:F58"/>
    <mergeCell ref="E8:F8"/>
    <mergeCell ref="B3:F3"/>
    <mergeCell ref="B4:D4"/>
    <mergeCell ref="E4:F4"/>
    <mergeCell ref="B5:C8"/>
    <mergeCell ref="E5:F5"/>
    <mergeCell ref="E6:F6"/>
    <mergeCell ref="E7:F7"/>
    <mergeCell ref="B11:F11"/>
    <mergeCell ref="B12:D12"/>
    <mergeCell ref="E12:F12"/>
    <mergeCell ref="B13:C16"/>
    <mergeCell ref="E13:F13"/>
    <mergeCell ref="E14:F14"/>
    <mergeCell ref="E15:F15"/>
    <mergeCell ref="E16:F16"/>
    <mergeCell ref="B19:F19"/>
    <mergeCell ref="B20:D20"/>
    <mergeCell ref="E20:F20"/>
    <mergeCell ref="B21:C24"/>
    <mergeCell ref="E21:F21"/>
    <mergeCell ref="E22:F22"/>
    <mergeCell ref="E23:F23"/>
    <mergeCell ref="E24:F24"/>
    <mergeCell ref="B28:F28"/>
    <mergeCell ref="B29:D29"/>
    <mergeCell ref="E29:F29"/>
    <mergeCell ref="B30:C33"/>
    <mergeCell ref="E30:F30"/>
    <mergeCell ref="E31:F31"/>
    <mergeCell ref="E32:F32"/>
    <mergeCell ref="E33:F33"/>
    <mergeCell ref="B36:F36"/>
    <mergeCell ref="B37:D37"/>
    <mergeCell ref="E37:F37"/>
    <mergeCell ref="B38:C41"/>
    <mergeCell ref="E38:F38"/>
    <mergeCell ref="E39:F39"/>
    <mergeCell ref="E40:F40"/>
    <mergeCell ref="E41:F41"/>
    <mergeCell ref="B44:F44"/>
    <mergeCell ref="B45:D45"/>
    <mergeCell ref="E45:F45"/>
    <mergeCell ref="B46:C49"/>
    <mergeCell ref="E46:F46"/>
    <mergeCell ref="E47:F47"/>
    <mergeCell ref="E48:F48"/>
    <mergeCell ref="E49:F4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07"/>
  <sheetViews>
    <sheetView zoomScale="85" zoomScaleNormal="85" workbookViewId="0">
      <selection activeCell="H6" sqref="H6"/>
    </sheetView>
  </sheetViews>
  <sheetFormatPr defaultColWidth="9.140625" defaultRowHeight="15.75" x14ac:dyDescent="0.25"/>
  <cols>
    <col min="1" max="1" width="10.42578125" style="1" customWidth="1"/>
    <col min="2" max="2" width="17.85546875" style="1" customWidth="1"/>
    <col min="3" max="3" width="13.28515625" style="1" customWidth="1"/>
    <col min="4" max="4" width="9.85546875" style="1" bestFit="1" customWidth="1"/>
    <col min="5" max="5" width="11.5703125" style="1" customWidth="1"/>
    <col min="6" max="8" width="9.140625" style="1"/>
    <col min="9" max="9" width="10.5703125" style="1" customWidth="1"/>
    <col min="10" max="10" width="17.28515625" style="1" customWidth="1"/>
    <col min="11" max="11" width="9.140625" style="1" customWidth="1"/>
    <col min="12" max="12" width="11" style="1" hidden="1" customWidth="1"/>
    <col min="13" max="13" width="12.85546875" style="1" hidden="1" customWidth="1"/>
    <col min="14" max="14" width="20.85546875" style="1" hidden="1" customWidth="1"/>
    <col min="15" max="15" width="20.42578125" style="1" customWidth="1"/>
    <col min="16" max="16" width="13.28515625" style="1" hidden="1" customWidth="1"/>
    <col min="17" max="16384" width="9.140625" style="1"/>
  </cols>
  <sheetData>
    <row r="1" spans="1:16" ht="22.15" customHeight="1" x14ac:dyDescent="0.25">
      <c r="A1" s="392" t="s">
        <v>148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</row>
    <row r="2" spans="1:16" ht="15.6" customHeight="1" x14ac:dyDescent="0.25">
      <c r="A2" s="278" t="s">
        <v>0</v>
      </c>
      <c r="B2" s="278" t="s">
        <v>1</v>
      </c>
      <c r="C2" s="278" t="s">
        <v>2</v>
      </c>
      <c r="D2" s="278" t="s">
        <v>3</v>
      </c>
      <c r="E2" s="278" t="s">
        <v>4</v>
      </c>
      <c r="F2" s="278" t="s">
        <v>5</v>
      </c>
      <c r="G2" s="278" t="s">
        <v>6</v>
      </c>
      <c r="H2" s="278"/>
      <c r="I2" s="278"/>
      <c r="J2" s="278"/>
      <c r="K2" s="278"/>
      <c r="L2" s="278" t="s">
        <v>8</v>
      </c>
      <c r="M2" s="278" t="s">
        <v>9</v>
      </c>
      <c r="N2" s="278" t="s">
        <v>10</v>
      </c>
      <c r="O2" s="278" t="s">
        <v>10</v>
      </c>
      <c r="P2" s="338" t="s">
        <v>12</v>
      </c>
    </row>
    <row r="3" spans="1:16" x14ac:dyDescent="0.25">
      <c r="A3" s="278"/>
      <c r="B3" s="278"/>
      <c r="C3" s="278"/>
      <c r="D3" s="278"/>
      <c r="E3" s="278"/>
      <c r="F3" s="278"/>
      <c r="G3" s="278" t="s">
        <v>13</v>
      </c>
      <c r="H3" s="278" t="s">
        <v>14</v>
      </c>
      <c r="I3" s="278" t="s">
        <v>15</v>
      </c>
      <c r="J3" s="278" t="s">
        <v>16</v>
      </c>
      <c r="K3" s="278" t="s">
        <v>17</v>
      </c>
      <c r="L3" s="278"/>
      <c r="M3" s="278"/>
      <c r="N3" s="278"/>
      <c r="O3" s="278"/>
      <c r="P3" s="338"/>
    </row>
    <row r="4" spans="1:16" ht="37.5" customHeight="1" x14ac:dyDescent="0.25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338"/>
    </row>
    <row r="5" spans="1:16" x14ac:dyDescent="0.25">
      <c r="A5" s="3" t="s">
        <v>18</v>
      </c>
      <c r="B5" s="3" t="s">
        <v>19</v>
      </c>
      <c r="C5" s="3"/>
      <c r="D5" s="3" t="s">
        <v>20</v>
      </c>
      <c r="E5" s="3" t="s">
        <v>21</v>
      </c>
      <c r="F5" s="3" t="s">
        <v>22</v>
      </c>
      <c r="G5" s="3" t="s">
        <v>23</v>
      </c>
      <c r="H5" s="3" t="s">
        <v>23</v>
      </c>
      <c r="I5" s="3" t="s">
        <v>24</v>
      </c>
      <c r="J5" s="3" t="s">
        <v>22</v>
      </c>
      <c r="K5" s="3" t="s">
        <v>24</v>
      </c>
      <c r="L5" s="3" t="s">
        <v>25</v>
      </c>
      <c r="M5" s="3" t="s">
        <v>25</v>
      </c>
      <c r="N5" s="3" t="s">
        <v>26</v>
      </c>
      <c r="O5" s="3" t="s">
        <v>27</v>
      </c>
      <c r="P5" s="3" t="s">
        <v>28</v>
      </c>
    </row>
    <row r="6" spans="1:16" ht="41.25" customHeight="1" x14ac:dyDescent="0.25">
      <c r="A6" s="3">
        <v>1</v>
      </c>
      <c r="B6" s="12" t="s">
        <v>42</v>
      </c>
      <c r="C6" s="12" t="s">
        <v>29</v>
      </c>
      <c r="D6" s="3" t="s">
        <v>30</v>
      </c>
      <c r="E6" s="3">
        <v>1.4</v>
      </c>
      <c r="F6" s="3">
        <v>73</v>
      </c>
      <c r="G6" s="16">
        <f>H6*(100)/F6</f>
        <v>123.28767123287672</v>
      </c>
      <c r="H6" s="3">
        <v>90</v>
      </c>
      <c r="I6" s="17">
        <f>1/(H6/(10*F6))</f>
        <v>8.1111111111111107</v>
      </c>
      <c r="J6" s="3">
        <v>0</v>
      </c>
      <c r="K6" s="17">
        <f>I6-(I6/100*J6)</f>
        <v>8.1111111111111107</v>
      </c>
      <c r="L6" s="8">
        <f>380*1.6</f>
        <v>608</v>
      </c>
      <c r="M6" s="8">
        <f>E6*L6</f>
        <v>851.19999999999993</v>
      </c>
      <c r="N6" s="9">
        <f>A6/K6</f>
        <v>0.12328767123287672</v>
      </c>
      <c r="O6" s="9">
        <f>E6*N6</f>
        <v>0.17260273972602741</v>
      </c>
      <c r="P6" s="18">
        <f>O6*L6</f>
        <v>104.94246575342467</v>
      </c>
    </row>
    <row r="7" spans="1:16" ht="39.75" customHeight="1" x14ac:dyDescent="0.25">
      <c r="A7" s="3">
        <v>1</v>
      </c>
      <c r="B7" s="12" t="s">
        <v>43</v>
      </c>
      <c r="C7" s="12" t="s">
        <v>32</v>
      </c>
      <c r="D7" s="19" t="s">
        <v>266</v>
      </c>
      <c r="E7" s="3">
        <v>1.3</v>
      </c>
      <c r="F7" s="3">
        <v>58</v>
      </c>
      <c r="G7" s="16">
        <f>H7*100/F7</f>
        <v>103.44827586206897</v>
      </c>
      <c r="H7" s="3">
        <v>60</v>
      </c>
      <c r="I7" s="17">
        <f>1/(H7/(10*F7))</f>
        <v>9.6666666666666661</v>
      </c>
      <c r="J7" s="3">
        <v>0</v>
      </c>
      <c r="K7" s="17">
        <f>I7-(I7/100*J7)</f>
        <v>9.6666666666666661</v>
      </c>
      <c r="L7" s="8">
        <f>631*1.6</f>
        <v>1009.6</v>
      </c>
      <c r="M7" s="8">
        <f>E7*L7</f>
        <v>1312.48</v>
      </c>
      <c r="N7" s="9">
        <f>A7/K7</f>
        <v>0.10344827586206898</v>
      </c>
      <c r="O7" s="9">
        <f>E7*N7</f>
        <v>0.13448275862068967</v>
      </c>
      <c r="P7" s="18">
        <f>O7*L7</f>
        <v>135.7737931034483</v>
      </c>
    </row>
    <row r="8" spans="1:16" ht="47.25" customHeight="1" x14ac:dyDescent="0.25">
      <c r="A8" s="3"/>
      <c r="B8" s="335" t="s">
        <v>35</v>
      </c>
      <c r="C8" s="335"/>
      <c r="D8" s="335"/>
      <c r="E8" s="335"/>
      <c r="F8" s="335"/>
      <c r="G8" s="335"/>
      <c r="H8" s="3">
        <f>SUM(H6:H7)</f>
        <v>150</v>
      </c>
      <c r="I8" s="335"/>
      <c r="J8" s="335"/>
      <c r="K8" s="335"/>
      <c r="L8" s="335"/>
      <c r="M8" s="335"/>
      <c r="N8" s="335"/>
      <c r="O8" s="335"/>
      <c r="P8" s="18">
        <f>SUM(P6:P7)</f>
        <v>240.71625885687297</v>
      </c>
    </row>
    <row r="9" spans="1:16" ht="15.6" customHeight="1" x14ac:dyDescent="0.25">
      <c r="A9" s="278" t="s">
        <v>0</v>
      </c>
      <c r="B9" s="278" t="s">
        <v>1</v>
      </c>
      <c r="C9" s="278" t="s">
        <v>2</v>
      </c>
      <c r="D9" s="278" t="s">
        <v>3</v>
      </c>
      <c r="E9" s="278" t="s">
        <v>4</v>
      </c>
      <c r="F9" s="278" t="s">
        <v>5</v>
      </c>
      <c r="G9" s="278" t="s">
        <v>6</v>
      </c>
      <c r="H9" s="278"/>
      <c r="I9" s="278"/>
      <c r="J9" s="278"/>
      <c r="K9" s="278"/>
      <c r="L9" s="278" t="s">
        <v>8</v>
      </c>
      <c r="M9" s="278" t="s">
        <v>9</v>
      </c>
      <c r="N9" s="278" t="s">
        <v>10</v>
      </c>
      <c r="O9" s="278" t="s">
        <v>10</v>
      </c>
      <c r="P9" s="338" t="s">
        <v>12</v>
      </c>
    </row>
    <row r="10" spans="1:16" x14ac:dyDescent="0.25">
      <c r="A10" s="278"/>
      <c r="B10" s="278"/>
      <c r="C10" s="278"/>
      <c r="D10" s="278"/>
      <c r="E10" s="278"/>
      <c r="F10" s="278"/>
      <c r="G10" s="278" t="s">
        <v>13</v>
      </c>
      <c r="H10" s="278" t="s">
        <v>14</v>
      </c>
      <c r="I10" s="278" t="s">
        <v>15</v>
      </c>
      <c r="J10" s="278" t="s">
        <v>16</v>
      </c>
      <c r="K10" s="278" t="s">
        <v>17</v>
      </c>
      <c r="L10" s="278"/>
      <c r="M10" s="278"/>
      <c r="N10" s="278"/>
      <c r="O10" s="278"/>
      <c r="P10" s="338"/>
    </row>
    <row r="11" spans="1:16" ht="37.5" customHeight="1" x14ac:dyDescent="0.25">
      <c r="A11" s="278"/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338"/>
    </row>
    <row r="12" spans="1:16" x14ac:dyDescent="0.25">
      <c r="A12" s="3" t="s">
        <v>18</v>
      </c>
      <c r="B12" s="3" t="s">
        <v>19</v>
      </c>
      <c r="C12" s="3"/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23</v>
      </c>
      <c r="I12" s="3" t="s">
        <v>24</v>
      </c>
      <c r="J12" s="3" t="s">
        <v>22</v>
      </c>
      <c r="K12" s="3" t="s">
        <v>24</v>
      </c>
      <c r="L12" s="3" t="s">
        <v>25</v>
      </c>
      <c r="M12" s="3" t="s">
        <v>25</v>
      </c>
      <c r="N12" s="3" t="s">
        <v>26</v>
      </c>
      <c r="O12" s="3" t="s">
        <v>27</v>
      </c>
      <c r="P12" s="3" t="s">
        <v>28</v>
      </c>
    </row>
    <row r="13" spans="1:16" ht="41.25" customHeight="1" x14ac:dyDescent="0.25">
      <c r="A13" s="3">
        <v>1</v>
      </c>
      <c r="B13" s="12" t="s">
        <v>212</v>
      </c>
      <c r="C13" s="12" t="s">
        <v>29</v>
      </c>
      <c r="D13" s="3" t="s">
        <v>30</v>
      </c>
      <c r="E13" s="3">
        <v>1.5</v>
      </c>
      <c r="F13" s="3">
        <v>55</v>
      </c>
      <c r="G13" s="16">
        <f>H13*(100)/F13</f>
        <v>272.72727272727275</v>
      </c>
      <c r="H13" s="3">
        <v>150</v>
      </c>
      <c r="I13" s="17">
        <f>1/(H13/(10*F13))</f>
        <v>3.666666666666667</v>
      </c>
      <c r="J13" s="3">
        <v>0</v>
      </c>
      <c r="K13" s="17">
        <f>I13-(I13/100*J13)</f>
        <v>3.666666666666667</v>
      </c>
      <c r="L13" s="8">
        <v>550</v>
      </c>
      <c r="M13" s="8">
        <f>E13*L13</f>
        <v>825</v>
      </c>
      <c r="N13" s="9">
        <f>A13/K13</f>
        <v>0.27272727272727271</v>
      </c>
      <c r="O13" s="9">
        <f>E13*N13</f>
        <v>0.40909090909090906</v>
      </c>
      <c r="P13" s="18">
        <f>O13*L13</f>
        <v>224.99999999999997</v>
      </c>
    </row>
    <row r="14" spans="1:16" ht="46.15" customHeight="1" x14ac:dyDescent="0.25">
      <c r="A14" s="3">
        <v>1</v>
      </c>
      <c r="B14" s="12" t="s">
        <v>213</v>
      </c>
      <c r="C14" s="12" t="s">
        <v>32</v>
      </c>
      <c r="D14" s="19">
        <v>5005</v>
      </c>
      <c r="E14" s="3">
        <v>1.6</v>
      </c>
      <c r="F14" s="3">
        <v>55</v>
      </c>
      <c r="G14" s="16">
        <f>H14*100/F14</f>
        <v>90.909090909090907</v>
      </c>
      <c r="H14" s="3">
        <v>50</v>
      </c>
      <c r="I14" s="17">
        <f>1/(H14/(10*F14))</f>
        <v>11</v>
      </c>
      <c r="J14" s="3">
        <v>0</v>
      </c>
      <c r="K14" s="17">
        <f>I14-(I14/100*J14)</f>
        <v>11</v>
      </c>
      <c r="L14" s="8">
        <v>790</v>
      </c>
      <c r="M14" s="8">
        <f>E14*L14</f>
        <v>1264</v>
      </c>
      <c r="N14" s="9">
        <f>A14/K14</f>
        <v>9.0909090909090912E-2</v>
      </c>
      <c r="O14" s="9">
        <f>E14*N14</f>
        <v>0.14545454545454548</v>
      </c>
      <c r="P14" s="18">
        <f>O14*L14</f>
        <v>114.90909090909092</v>
      </c>
    </row>
    <row r="15" spans="1:16" ht="47.25" customHeight="1" x14ac:dyDescent="0.25">
      <c r="A15" s="3"/>
      <c r="B15" s="335" t="s">
        <v>35</v>
      </c>
      <c r="C15" s="335"/>
      <c r="D15" s="335"/>
      <c r="E15" s="335"/>
      <c r="F15" s="335"/>
      <c r="G15" s="335"/>
      <c r="H15" s="3">
        <f>SUM(H13:H14)</f>
        <v>200</v>
      </c>
      <c r="I15" s="335" t="s">
        <v>36</v>
      </c>
      <c r="J15" s="335"/>
      <c r="K15" s="335"/>
      <c r="L15" s="335"/>
      <c r="M15" s="335"/>
      <c r="N15" s="335"/>
      <c r="O15" s="335"/>
      <c r="P15" s="18">
        <f>SUM(P13:P14)</f>
        <v>339.90909090909088</v>
      </c>
    </row>
    <row r="16" spans="1:16" ht="47.25" customHeight="1" x14ac:dyDescent="0.25">
      <c r="A16" s="91"/>
      <c r="B16" s="91">
        <v>100</v>
      </c>
      <c r="C16" s="91">
        <f>668.8</f>
        <v>668.8</v>
      </c>
      <c r="D16" s="91">
        <f>B16*C16</f>
        <v>66880</v>
      </c>
      <c r="E16" s="91">
        <f>SUM(D16:D18)/(SUM(B16:B18))</f>
        <v>807.13949275362324</v>
      </c>
      <c r="F16" s="91" t="s">
        <v>214</v>
      </c>
      <c r="G16" s="91"/>
      <c r="H16" s="91"/>
      <c r="I16" s="91"/>
      <c r="J16" s="91"/>
      <c r="K16" s="91"/>
      <c r="L16" s="91"/>
      <c r="M16" s="91"/>
      <c r="N16" s="91"/>
      <c r="O16" s="91"/>
      <c r="P16" s="92"/>
    </row>
    <row r="17" spans="1:16" ht="47.25" customHeight="1" x14ac:dyDescent="0.25">
      <c r="A17" s="91"/>
      <c r="B17" s="91">
        <v>25</v>
      </c>
      <c r="C17" s="91">
        <v>694.45</v>
      </c>
      <c r="D17" s="91">
        <f>B17*C17</f>
        <v>17361.25</v>
      </c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2"/>
    </row>
    <row r="18" spans="1:16" ht="47.25" customHeight="1" x14ac:dyDescent="0.25">
      <c r="A18" s="91"/>
      <c r="B18" s="91">
        <v>13</v>
      </c>
      <c r="C18" s="91">
        <v>2088</v>
      </c>
      <c r="D18" s="91">
        <f>B18*C18</f>
        <v>27144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2"/>
    </row>
    <row r="19" spans="1:16" ht="47.25" customHeight="1" x14ac:dyDescent="0.25">
      <c r="A19" s="91"/>
      <c r="B19" s="91">
        <v>100</v>
      </c>
      <c r="C19" s="91">
        <v>519.14</v>
      </c>
      <c r="D19" s="91">
        <f>C19*B19</f>
        <v>51914</v>
      </c>
      <c r="E19" s="91">
        <f>(D19+D20)/110</f>
        <v>558.82727272727277</v>
      </c>
      <c r="F19" s="91" t="s">
        <v>215</v>
      </c>
      <c r="G19" s="91"/>
      <c r="H19" s="91"/>
      <c r="I19" s="91"/>
      <c r="J19" s="91"/>
      <c r="K19" s="91"/>
      <c r="L19" s="91"/>
      <c r="M19" s="91"/>
      <c r="N19" s="91"/>
      <c r="O19" s="91"/>
      <c r="P19" s="92"/>
    </row>
    <row r="20" spans="1:16" x14ac:dyDescent="0.25">
      <c r="B20" s="1">
        <v>10</v>
      </c>
      <c r="C20" s="1">
        <v>955.7</v>
      </c>
      <c r="D20" s="1">
        <f>C20*B20</f>
        <v>9557</v>
      </c>
    </row>
    <row r="22" spans="1:16" ht="15.75" customHeight="1" x14ac:dyDescent="0.25">
      <c r="A22" s="322" t="s">
        <v>0</v>
      </c>
      <c r="B22" s="322" t="s">
        <v>1</v>
      </c>
      <c r="C22" s="322" t="s">
        <v>2</v>
      </c>
      <c r="D22" s="322" t="s">
        <v>3</v>
      </c>
      <c r="E22" s="322" t="s">
        <v>4</v>
      </c>
      <c r="F22" s="322" t="s">
        <v>5</v>
      </c>
      <c r="G22" s="329" t="s">
        <v>6</v>
      </c>
      <c r="H22" s="330"/>
      <c r="I22" s="329" t="s">
        <v>7</v>
      </c>
      <c r="J22" s="331"/>
      <c r="K22" s="330"/>
      <c r="L22" s="322" t="s">
        <v>8</v>
      </c>
      <c r="M22" s="278" t="s">
        <v>9</v>
      </c>
      <c r="N22" s="278" t="s">
        <v>10</v>
      </c>
      <c r="O22" s="278" t="s">
        <v>11</v>
      </c>
      <c r="P22" s="362" t="s">
        <v>12</v>
      </c>
    </row>
    <row r="23" spans="1:16" x14ac:dyDescent="0.25">
      <c r="A23" s="322"/>
      <c r="B23" s="322"/>
      <c r="C23" s="322"/>
      <c r="D23" s="322"/>
      <c r="E23" s="322"/>
      <c r="F23" s="322"/>
      <c r="G23" s="322" t="s">
        <v>13</v>
      </c>
      <c r="H23" s="322" t="s">
        <v>14</v>
      </c>
      <c r="I23" s="322" t="s">
        <v>15</v>
      </c>
      <c r="J23" s="322" t="s">
        <v>16</v>
      </c>
      <c r="K23" s="322" t="s">
        <v>17</v>
      </c>
      <c r="L23" s="322"/>
      <c r="M23" s="278"/>
      <c r="N23" s="278"/>
      <c r="O23" s="278"/>
      <c r="P23" s="362"/>
    </row>
    <row r="24" spans="1:16" x14ac:dyDescent="0.25">
      <c r="A24" s="322"/>
      <c r="B24" s="322"/>
      <c r="C24" s="322"/>
      <c r="D24" s="322"/>
      <c r="E24" s="322"/>
      <c r="F24" s="322"/>
      <c r="G24" s="322"/>
      <c r="H24" s="322"/>
      <c r="I24" s="322"/>
      <c r="J24" s="322"/>
      <c r="K24" s="322"/>
      <c r="L24" s="322"/>
      <c r="M24" s="278"/>
      <c r="N24" s="278"/>
      <c r="O24" s="278"/>
      <c r="P24" s="362"/>
    </row>
    <row r="25" spans="1:16" ht="28.5" customHeight="1" x14ac:dyDescent="0.25">
      <c r="A25" s="2" t="s">
        <v>18</v>
      </c>
      <c r="B25" s="2" t="s">
        <v>19</v>
      </c>
      <c r="C25" s="2"/>
      <c r="D25" s="2" t="s">
        <v>20</v>
      </c>
      <c r="E25" s="2" t="s">
        <v>21</v>
      </c>
      <c r="F25" s="2" t="s">
        <v>22</v>
      </c>
      <c r="G25" s="2" t="s">
        <v>23</v>
      </c>
      <c r="H25" s="2" t="s">
        <v>23</v>
      </c>
      <c r="I25" s="2" t="s">
        <v>24</v>
      </c>
      <c r="J25" s="2" t="s">
        <v>22</v>
      </c>
      <c r="K25" s="2" t="s">
        <v>24</v>
      </c>
      <c r="L25" s="2" t="s">
        <v>25</v>
      </c>
      <c r="M25" s="3" t="s">
        <v>25</v>
      </c>
      <c r="N25" s="3" t="s">
        <v>26</v>
      </c>
      <c r="O25" s="3" t="s">
        <v>27</v>
      </c>
      <c r="P25" s="2" t="s">
        <v>28</v>
      </c>
    </row>
    <row r="26" spans="1:16" hidden="1" x14ac:dyDescent="0.25">
      <c r="A26" s="2">
        <v>1</v>
      </c>
      <c r="B26" s="4" t="s">
        <v>37</v>
      </c>
      <c r="C26" s="4" t="s">
        <v>29</v>
      </c>
      <c r="D26" s="2" t="s">
        <v>30</v>
      </c>
      <c r="E26" s="2">
        <v>1.4</v>
      </c>
      <c r="F26" s="2">
        <v>83</v>
      </c>
      <c r="G26" s="5">
        <f>H26*100/F26</f>
        <v>0</v>
      </c>
      <c r="H26" s="2">
        <v>0</v>
      </c>
      <c r="I26" s="6" t="e">
        <f>1/(H26/(10*F26))</f>
        <v>#DIV/0!</v>
      </c>
      <c r="J26" s="2">
        <v>0</v>
      </c>
      <c r="K26" s="6" t="e">
        <f>I26-(I26/100*J26)</f>
        <v>#DIV/0!</v>
      </c>
      <c r="L26" s="7">
        <v>630</v>
      </c>
      <c r="M26" s="8">
        <f>L26*E26</f>
        <v>882</v>
      </c>
      <c r="N26" s="9" t="e">
        <f>A26/K26</f>
        <v>#DIV/0!</v>
      </c>
      <c r="O26" s="8" t="e">
        <f>E26*N26</f>
        <v>#DIV/0!</v>
      </c>
      <c r="P26" s="10" t="e">
        <f>O26*L26</f>
        <v>#DIV/0!</v>
      </c>
    </row>
    <row r="27" spans="1:16" ht="38.25" customHeight="1" x14ac:dyDescent="0.25">
      <c r="A27" s="2">
        <v>1</v>
      </c>
      <c r="B27" s="4" t="s">
        <v>38</v>
      </c>
      <c r="C27" s="4" t="s">
        <v>32</v>
      </c>
      <c r="D27" s="11">
        <v>9006</v>
      </c>
      <c r="E27" s="2">
        <v>1.2</v>
      </c>
      <c r="F27" s="2">
        <v>72</v>
      </c>
      <c r="G27" s="5">
        <f>H27*100/F27</f>
        <v>83.333333333333329</v>
      </c>
      <c r="H27" s="2">
        <v>60</v>
      </c>
      <c r="I27" s="6">
        <f>1/(H27/(10*F27))</f>
        <v>12</v>
      </c>
      <c r="J27" s="2">
        <v>0</v>
      </c>
      <c r="K27" s="6">
        <f>I27-(I27/100*J27)</f>
        <v>12</v>
      </c>
      <c r="L27" s="7">
        <v>1215</v>
      </c>
      <c r="M27" s="8">
        <f>L27*E27</f>
        <v>1458</v>
      </c>
      <c r="N27" s="9">
        <f>A27/K27</f>
        <v>8.3333333333333329E-2</v>
      </c>
      <c r="O27" s="9">
        <f>E27*N27</f>
        <v>9.9999999999999992E-2</v>
      </c>
      <c r="P27" s="10">
        <f>O27*L27</f>
        <v>121.49999999999999</v>
      </c>
    </row>
    <row r="28" spans="1:16" x14ac:dyDescent="0.25">
      <c r="A28" s="363" t="s">
        <v>33</v>
      </c>
      <c r="B28" s="363"/>
      <c r="C28" s="363"/>
      <c r="D28" s="363"/>
      <c r="E28" s="2">
        <v>0.9</v>
      </c>
      <c r="F28" s="363">
        <v>10</v>
      </c>
      <c r="G28" s="363"/>
      <c r="H28" s="363"/>
      <c r="I28" s="363"/>
      <c r="J28" s="2"/>
      <c r="K28" s="2"/>
      <c r="L28" s="4">
        <v>0</v>
      </c>
      <c r="M28" s="12"/>
      <c r="N28" s="13" t="e">
        <f>N26*(F28/100)</f>
        <v>#DIV/0!</v>
      </c>
      <c r="O28" s="9" t="e">
        <f>E28*N28</f>
        <v>#DIV/0!</v>
      </c>
      <c r="P28" s="10" t="e">
        <f>N28*L28</f>
        <v>#DIV/0!</v>
      </c>
    </row>
    <row r="29" spans="1:16" x14ac:dyDescent="0.25">
      <c r="A29" s="363" t="s">
        <v>34</v>
      </c>
      <c r="B29" s="363"/>
      <c r="C29" s="363"/>
      <c r="D29" s="363"/>
      <c r="E29" s="2">
        <v>0.9</v>
      </c>
      <c r="F29" s="363">
        <v>10</v>
      </c>
      <c r="G29" s="363"/>
      <c r="H29" s="363"/>
      <c r="I29" s="363"/>
      <c r="J29" s="2"/>
      <c r="K29" s="2"/>
      <c r="L29" s="4">
        <v>0</v>
      </c>
      <c r="M29" s="12"/>
      <c r="N29" s="13">
        <f>N27*(F29/100)</f>
        <v>8.3333333333333332E-3</v>
      </c>
      <c r="O29" s="9">
        <f>E29*N29</f>
        <v>7.4999999999999997E-3</v>
      </c>
      <c r="P29" s="10">
        <f>N29*L29</f>
        <v>0</v>
      </c>
    </row>
    <row r="30" spans="1:16" ht="38.25" customHeight="1" x14ac:dyDescent="0.25">
      <c r="A30" s="2"/>
      <c r="B30" s="363" t="s">
        <v>35</v>
      </c>
      <c r="C30" s="363"/>
      <c r="D30" s="363"/>
      <c r="E30" s="363"/>
      <c r="F30" s="363"/>
      <c r="G30" s="363"/>
      <c r="H30" s="2">
        <f>SUM(H26:H27)</f>
        <v>60</v>
      </c>
      <c r="I30" s="363" t="s">
        <v>36</v>
      </c>
      <c r="J30" s="363"/>
      <c r="K30" s="363"/>
      <c r="L30" s="363"/>
      <c r="M30" s="363"/>
      <c r="N30" s="363"/>
      <c r="O30" s="363"/>
      <c r="P30" s="10" t="e">
        <f>SUM(P26:P29)</f>
        <v>#DIV/0!</v>
      </c>
    </row>
    <row r="33" spans="1:16" x14ac:dyDescent="0.25">
      <c r="A33" s="392" t="s">
        <v>153</v>
      </c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</row>
    <row r="34" spans="1:16" x14ac:dyDescent="0.25">
      <c r="A34" s="278" t="s">
        <v>0</v>
      </c>
      <c r="B34" s="278" t="s">
        <v>1</v>
      </c>
      <c r="C34" s="278" t="s">
        <v>2</v>
      </c>
      <c r="D34" s="278" t="s">
        <v>3</v>
      </c>
      <c r="E34" s="278" t="s">
        <v>4</v>
      </c>
      <c r="F34" s="278" t="s">
        <v>5</v>
      </c>
      <c r="G34" s="278" t="s">
        <v>6</v>
      </c>
      <c r="H34" s="278"/>
      <c r="I34" s="278"/>
      <c r="J34" s="278"/>
      <c r="K34" s="278"/>
      <c r="L34" s="278" t="s">
        <v>8</v>
      </c>
      <c r="M34" s="278" t="s">
        <v>9</v>
      </c>
      <c r="N34" s="278" t="s">
        <v>10</v>
      </c>
      <c r="O34" s="278" t="s">
        <v>149</v>
      </c>
      <c r="P34" s="338" t="s">
        <v>12</v>
      </c>
    </row>
    <row r="35" spans="1:16" x14ac:dyDescent="0.25">
      <c r="A35" s="278"/>
      <c r="B35" s="278"/>
      <c r="C35" s="278"/>
      <c r="D35" s="278"/>
      <c r="E35" s="278"/>
      <c r="F35" s="278"/>
      <c r="G35" s="278" t="s">
        <v>13</v>
      </c>
      <c r="H35" s="278" t="s">
        <v>14</v>
      </c>
      <c r="I35" s="278" t="s">
        <v>15</v>
      </c>
      <c r="J35" s="278" t="s">
        <v>16</v>
      </c>
      <c r="K35" s="278" t="s">
        <v>17</v>
      </c>
      <c r="L35" s="278"/>
      <c r="M35" s="278"/>
      <c r="N35" s="278"/>
      <c r="O35" s="278"/>
      <c r="P35" s="338"/>
    </row>
    <row r="36" spans="1:16" x14ac:dyDescent="0.25">
      <c r="A36" s="278"/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338"/>
    </row>
    <row r="37" spans="1:16" x14ac:dyDescent="0.25">
      <c r="A37" s="3" t="s">
        <v>18</v>
      </c>
      <c r="B37" s="3" t="s">
        <v>19</v>
      </c>
      <c r="C37" s="3"/>
      <c r="D37" s="3" t="s">
        <v>20</v>
      </c>
      <c r="E37" s="3" t="s">
        <v>21</v>
      </c>
      <c r="F37" s="3" t="s">
        <v>22</v>
      </c>
      <c r="G37" s="3" t="s">
        <v>23</v>
      </c>
      <c r="H37" s="3" t="s">
        <v>23</v>
      </c>
      <c r="I37" s="3" t="s">
        <v>24</v>
      </c>
      <c r="J37" s="3" t="s">
        <v>22</v>
      </c>
      <c r="K37" s="3" t="s">
        <v>24</v>
      </c>
      <c r="L37" s="3" t="s">
        <v>25</v>
      </c>
      <c r="M37" s="3" t="s">
        <v>25</v>
      </c>
      <c r="N37" s="3" t="s">
        <v>26</v>
      </c>
      <c r="O37" s="3" t="s">
        <v>27</v>
      </c>
      <c r="P37" s="3" t="s">
        <v>28</v>
      </c>
    </row>
    <row r="38" spans="1:16" ht="39" customHeight="1" x14ac:dyDescent="0.25">
      <c r="A38" s="3">
        <v>1</v>
      </c>
      <c r="B38" s="12" t="s">
        <v>150</v>
      </c>
      <c r="C38" s="12" t="s">
        <v>152</v>
      </c>
      <c r="D38" s="3" t="s">
        <v>30</v>
      </c>
      <c r="E38" s="3">
        <v>1.3</v>
      </c>
      <c r="F38" s="3">
        <v>45</v>
      </c>
      <c r="G38" s="16">
        <f>H38*(100+10)/F38</f>
        <v>122.22222222222223</v>
      </c>
      <c r="H38" s="3">
        <v>50</v>
      </c>
      <c r="I38" s="17">
        <f>1/(H38/(10*F38))</f>
        <v>9</v>
      </c>
      <c r="J38" s="3">
        <v>30</v>
      </c>
      <c r="K38" s="17">
        <f>I38-(I38/100*J38)</f>
        <v>6.3000000000000007</v>
      </c>
      <c r="L38" s="8">
        <v>475</v>
      </c>
      <c r="M38" s="8">
        <f>E38*L38</f>
        <v>617.5</v>
      </c>
      <c r="N38" s="9">
        <f>A38/K38</f>
        <v>0.15873015873015872</v>
      </c>
      <c r="O38" s="9">
        <f>E38*N38</f>
        <v>0.20634920634920634</v>
      </c>
      <c r="P38" s="18">
        <f>O38*L38</f>
        <v>98.015873015873012</v>
      </c>
    </row>
    <row r="39" spans="1:16" ht="36" customHeight="1" x14ac:dyDescent="0.25">
      <c r="A39" s="3">
        <v>1</v>
      </c>
      <c r="B39" s="12" t="s">
        <v>150</v>
      </c>
      <c r="C39" s="12" t="s">
        <v>152</v>
      </c>
      <c r="D39" s="19" t="s">
        <v>151</v>
      </c>
      <c r="E39" s="3">
        <v>1.3</v>
      </c>
      <c r="F39" s="3">
        <v>45</v>
      </c>
      <c r="G39" s="16">
        <f>H39*100/F39</f>
        <v>111.11111111111111</v>
      </c>
      <c r="H39" s="3">
        <v>50</v>
      </c>
      <c r="I39" s="17">
        <f>1/(H39/(10*F39))</f>
        <v>9</v>
      </c>
      <c r="J39" s="3">
        <v>30</v>
      </c>
      <c r="K39" s="17">
        <f>I39-(I39/100*J39)</f>
        <v>6.3000000000000007</v>
      </c>
      <c r="L39" s="8">
        <v>475</v>
      </c>
      <c r="M39" s="8">
        <f>E39*L39</f>
        <v>617.5</v>
      </c>
      <c r="N39" s="9">
        <f>A39/K39</f>
        <v>0.15873015873015872</v>
      </c>
      <c r="O39" s="9">
        <f>E39*N39</f>
        <v>0.20634920634920634</v>
      </c>
      <c r="P39" s="18">
        <f>O39*L39</f>
        <v>98.015873015873012</v>
      </c>
    </row>
    <row r="40" spans="1:16" x14ac:dyDescent="0.25">
      <c r="A40" s="3"/>
      <c r="B40" s="335" t="s">
        <v>35</v>
      </c>
      <c r="C40" s="335"/>
      <c r="D40" s="335"/>
      <c r="E40" s="335"/>
      <c r="F40" s="335"/>
      <c r="G40" s="335"/>
      <c r="H40" s="3">
        <f>SUM(H38:H39)</f>
        <v>100</v>
      </c>
      <c r="I40" s="335" t="s">
        <v>36</v>
      </c>
      <c r="J40" s="335"/>
      <c r="K40" s="335"/>
      <c r="L40" s="335"/>
      <c r="M40" s="335"/>
      <c r="N40" s="335"/>
      <c r="O40" s="335"/>
      <c r="P40" s="18">
        <f>SUM(P38:P39)</f>
        <v>196.03174603174602</v>
      </c>
    </row>
    <row r="44" spans="1:16" x14ac:dyDescent="0.25">
      <c r="A44" s="325" t="s">
        <v>135</v>
      </c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</row>
    <row r="45" spans="1:16" x14ac:dyDescent="0.25">
      <c r="A45" s="326" t="s">
        <v>0</v>
      </c>
      <c r="B45" s="326" t="s">
        <v>1</v>
      </c>
      <c r="C45" s="326" t="s">
        <v>2</v>
      </c>
      <c r="D45" s="326" t="s">
        <v>3</v>
      </c>
      <c r="E45" s="326" t="s">
        <v>4</v>
      </c>
      <c r="F45" s="326" t="s">
        <v>5</v>
      </c>
      <c r="G45" s="329" t="s">
        <v>6</v>
      </c>
      <c r="H45" s="330"/>
      <c r="I45" s="329" t="s">
        <v>7</v>
      </c>
      <c r="J45" s="331"/>
      <c r="K45" s="330"/>
      <c r="L45" s="326" t="s">
        <v>8</v>
      </c>
      <c r="M45" s="332" t="s">
        <v>9</v>
      </c>
      <c r="N45" s="332" t="s">
        <v>156</v>
      </c>
      <c r="O45" s="332" t="s">
        <v>156</v>
      </c>
      <c r="P45" s="319" t="s">
        <v>12</v>
      </c>
    </row>
    <row r="46" spans="1:16" x14ac:dyDescent="0.25">
      <c r="A46" s="327"/>
      <c r="B46" s="327"/>
      <c r="C46" s="327"/>
      <c r="D46" s="327"/>
      <c r="E46" s="327"/>
      <c r="F46" s="327"/>
      <c r="G46" s="326" t="s">
        <v>13</v>
      </c>
      <c r="H46" s="326" t="s">
        <v>14</v>
      </c>
      <c r="I46" s="326" t="s">
        <v>15</v>
      </c>
      <c r="J46" s="326" t="s">
        <v>16</v>
      </c>
      <c r="K46" s="326" t="s">
        <v>17</v>
      </c>
      <c r="L46" s="327"/>
      <c r="M46" s="333"/>
      <c r="N46" s="333"/>
      <c r="O46" s="333"/>
      <c r="P46" s="320"/>
    </row>
    <row r="47" spans="1:16" ht="36" customHeight="1" x14ac:dyDescent="0.25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34"/>
      <c r="N47" s="334"/>
      <c r="O47" s="334"/>
      <c r="P47" s="321"/>
    </row>
    <row r="48" spans="1:16" x14ac:dyDescent="0.25">
      <c r="A48" s="2" t="s">
        <v>18</v>
      </c>
      <c r="B48" s="2" t="s">
        <v>19</v>
      </c>
      <c r="C48" s="2"/>
      <c r="D48" s="2" t="s">
        <v>20</v>
      </c>
      <c r="E48" s="2" t="s">
        <v>21</v>
      </c>
      <c r="F48" s="2" t="s">
        <v>22</v>
      </c>
      <c r="G48" s="2" t="s">
        <v>23</v>
      </c>
      <c r="H48" s="2" t="s">
        <v>23</v>
      </c>
      <c r="I48" s="2" t="s">
        <v>24</v>
      </c>
      <c r="J48" s="2" t="s">
        <v>22</v>
      </c>
      <c r="K48" s="2" t="s">
        <v>24</v>
      </c>
      <c r="L48" s="2" t="s">
        <v>25</v>
      </c>
      <c r="M48" s="3" t="s">
        <v>25</v>
      </c>
      <c r="N48" s="3" t="s">
        <v>26</v>
      </c>
      <c r="O48" s="3" t="s">
        <v>27</v>
      </c>
      <c r="P48" s="2" t="s">
        <v>28</v>
      </c>
    </row>
    <row r="49" spans="1:16" ht="31.5" x14ac:dyDescent="0.25">
      <c r="A49" s="2">
        <v>1</v>
      </c>
      <c r="B49" s="4" t="s">
        <v>65</v>
      </c>
      <c r="C49" s="4" t="s">
        <v>29</v>
      </c>
      <c r="D49" s="2" t="s">
        <v>30</v>
      </c>
      <c r="E49" s="2">
        <v>1.6</v>
      </c>
      <c r="F49" s="2">
        <v>74</v>
      </c>
      <c r="G49" s="5">
        <f>H49*100/F49</f>
        <v>175.67567567567568</v>
      </c>
      <c r="H49" s="2">
        <v>130</v>
      </c>
      <c r="I49" s="6">
        <f>1/(H49/(10*F49))</f>
        <v>5.6923076923076916</v>
      </c>
      <c r="J49" s="2">
        <v>0</v>
      </c>
      <c r="K49" s="6">
        <f>I49-(I49/100*J49)</f>
        <v>5.6923076923076916</v>
      </c>
      <c r="L49" s="7">
        <f>M49/1.6</f>
        <v>612.5</v>
      </c>
      <c r="M49" s="8">
        <v>980</v>
      </c>
      <c r="N49" s="9">
        <f>A49/K49</f>
        <v>0.17567567567567569</v>
      </c>
      <c r="O49" s="8">
        <f>E49*N49</f>
        <v>0.2810810810810811</v>
      </c>
      <c r="P49" s="10">
        <f>N49*M49</f>
        <v>172.16216216216216</v>
      </c>
    </row>
    <row r="50" spans="1:16" ht="31.5" x14ac:dyDescent="0.25">
      <c r="A50" s="2">
        <v>1</v>
      </c>
      <c r="B50" s="4" t="s">
        <v>31</v>
      </c>
      <c r="C50" s="4" t="s">
        <v>32</v>
      </c>
      <c r="D50" s="11">
        <v>7004</v>
      </c>
      <c r="E50" s="2">
        <v>1.4</v>
      </c>
      <c r="F50" s="2">
        <v>63</v>
      </c>
      <c r="G50" s="5">
        <f>H50*100/F50</f>
        <v>79.365079365079367</v>
      </c>
      <c r="H50" s="2">
        <v>50</v>
      </c>
      <c r="I50" s="6">
        <f>1/(H50/(10*F50))</f>
        <v>12.600000000000001</v>
      </c>
      <c r="J50" s="2">
        <v>0</v>
      </c>
      <c r="K50" s="6">
        <f>I50-(I50/100*J50)</f>
        <v>12.600000000000001</v>
      </c>
      <c r="L50" s="7">
        <f>M50/1.4</f>
        <v>857.14285714285722</v>
      </c>
      <c r="M50" s="8">
        <v>1200</v>
      </c>
      <c r="N50" s="9">
        <f>A50/K50</f>
        <v>7.9365079365079361E-2</v>
      </c>
      <c r="O50" s="9">
        <f>E50*N50</f>
        <v>0.11111111111111109</v>
      </c>
      <c r="P50" s="10">
        <f>N50*M50</f>
        <v>95.238095238095227</v>
      </c>
    </row>
    <row r="51" spans="1:16" x14ac:dyDescent="0.25">
      <c r="A51" s="283" t="s">
        <v>33</v>
      </c>
      <c r="B51" s="284"/>
      <c r="C51" s="284"/>
      <c r="D51" s="285"/>
      <c r="E51" s="2">
        <v>0.9</v>
      </c>
      <c r="F51" s="283">
        <v>5</v>
      </c>
      <c r="G51" s="284"/>
      <c r="H51" s="284"/>
      <c r="I51" s="285"/>
      <c r="J51" s="2"/>
      <c r="K51" s="2"/>
      <c r="L51" s="4"/>
      <c r="M51" s="12">
        <v>420</v>
      </c>
      <c r="N51" s="13">
        <f>N49*(F51/100)</f>
        <v>8.7837837837837843E-3</v>
      </c>
      <c r="O51" s="9">
        <f>E51*N51</f>
        <v>7.9054054054054062E-3</v>
      </c>
      <c r="P51" s="10">
        <f>N51*M51</f>
        <v>3.6891891891891895</v>
      </c>
    </row>
    <row r="52" spans="1:16" x14ac:dyDescent="0.25">
      <c r="A52" s="283" t="s">
        <v>34</v>
      </c>
      <c r="B52" s="284"/>
      <c r="C52" s="284"/>
      <c r="D52" s="285"/>
      <c r="E52" s="2">
        <v>0.9</v>
      </c>
      <c r="F52" s="283">
        <v>5</v>
      </c>
      <c r="G52" s="284"/>
      <c r="H52" s="284"/>
      <c r="I52" s="285"/>
      <c r="J52" s="2"/>
      <c r="K52" s="2"/>
      <c r="L52" s="4"/>
      <c r="M52" s="12">
        <v>420</v>
      </c>
      <c r="N52" s="13">
        <f>N50*(F52/100)</f>
        <v>3.968253968253968E-3</v>
      </c>
      <c r="O52" s="9">
        <f>E52*N52</f>
        <v>3.5714285714285713E-3</v>
      </c>
      <c r="P52" s="10">
        <f>N52*M52</f>
        <v>1.6666666666666665</v>
      </c>
    </row>
    <row r="53" spans="1:16" x14ac:dyDescent="0.25">
      <c r="A53" s="2"/>
      <c r="B53" s="283" t="s">
        <v>35</v>
      </c>
      <c r="C53" s="284"/>
      <c r="D53" s="284"/>
      <c r="E53" s="284"/>
      <c r="F53" s="284"/>
      <c r="G53" s="285"/>
      <c r="H53" s="2">
        <f>SUM(H49:H50)</f>
        <v>180</v>
      </c>
      <c r="I53" s="283"/>
      <c r="J53" s="284"/>
      <c r="K53" s="284"/>
      <c r="L53" s="284"/>
      <c r="M53" s="284"/>
      <c r="N53" s="284"/>
      <c r="O53" s="285"/>
      <c r="P53" s="10">
        <f>SUM(P49:P52)</f>
        <v>272.75611325611322</v>
      </c>
    </row>
    <row r="56" spans="1:16" x14ac:dyDescent="0.25">
      <c r="A56" s="325" t="s">
        <v>182</v>
      </c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</row>
    <row r="57" spans="1:16" ht="15.75" customHeight="1" x14ac:dyDescent="0.25">
      <c r="A57" s="326" t="s">
        <v>0</v>
      </c>
      <c r="B57" s="326" t="s">
        <v>1</v>
      </c>
      <c r="C57" s="326" t="s">
        <v>2</v>
      </c>
      <c r="D57" s="326" t="s">
        <v>3</v>
      </c>
      <c r="E57" s="326" t="s">
        <v>4</v>
      </c>
      <c r="F57" s="326" t="s">
        <v>5</v>
      </c>
      <c r="G57" s="329" t="s">
        <v>6</v>
      </c>
      <c r="H57" s="330"/>
      <c r="I57" s="329" t="s">
        <v>7</v>
      </c>
      <c r="J57" s="331"/>
      <c r="K57" s="330"/>
      <c r="L57" s="326" t="s">
        <v>8</v>
      </c>
      <c r="M57" s="332" t="s">
        <v>9</v>
      </c>
      <c r="N57" s="332" t="s">
        <v>156</v>
      </c>
      <c r="O57" s="332" t="s">
        <v>156</v>
      </c>
      <c r="P57" s="319" t="s">
        <v>12</v>
      </c>
    </row>
    <row r="58" spans="1:16" x14ac:dyDescent="0.25">
      <c r="A58" s="327"/>
      <c r="B58" s="327"/>
      <c r="C58" s="327"/>
      <c r="D58" s="327"/>
      <c r="E58" s="327"/>
      <c r="F58" s="327"/>
      <c r="G58" s="326" t="s">
        <v>13</v>
      </c>
      <c r="H58" s="326" t="s">
        <v>14</v>
      </c>
      <c r="I58" s="326" t="s">
        <v>15</v>
      </c>
      <c r="J58" s="326" t="s">
        <v>16</v>
      </c>
      <c r="K58" s="326" t="s">
        <v>17</v>
      </c>
      <c r="L58" s="327"/>
      <c r="M58" s="333"/>
      <c r="N58" s="333"/>
      <c r="O58" s="333"/>
      <c r="P58" s="320"/>
    </row>
    <row r="59" spans="1:16" x14ac:dyDescent="0.25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34"/>
      <c r="N59" s="334"/>
      <c r="O59" s="334"/>
      <c r="P59" s="321"/>
    </row>
    <row r="60" spans="1:16" x14ac:dyDescent="0.25">
      <c r="A60" s="2" t="s">
        <v>18</v>
      </c>
      <c r="B60" s="2" t="s">
        <v>19</v>
      </c>
      <c r="C60" s="2"/>
      <c r="D60" s="2" t="s">
        <v>20</v>
      </c>
      <c r="E60" s="2" t="s">
        <v>21</v>
      </c>
      <c r="F60" s="2" t="s">
        <v>22</v>
      </c>
      <c r="G60" s="2" t="s">
        <v>23</v>
      </c>
      <c r="H60" s="2" t="s">
        <v>23</v>
      </c>
      <c r="I60" s="2" t="s">
        <v>24</v>
      </c>
      <c r="J60" s="2" t="s">
        <v>22</v>
      </c>
      <c r="K60" s="2" t="s">
        <v>24</v>
      </c>
      <c r="L60" s="2" t="s">
        <v>25</v>
      </c>
      <c r="M60" s="3" t="s">
        <v>25</v>
      </c>
      <c r="N60" s="3" t="s">
        <v>26</v>
      </c>
      <c r="O60" s="3" t="s">
        <v>27</v>
      </c>
      <c r="P60" s="2" t="s">
        <v>28</v>
      </c>
    </row>
    <row r="61" spans="1:16" ht="31.5" x14ac:dyDescent="0.25">
      <c r="A61" s="2">
        <v>1</v>
      </c>
      <c r="B61" s="4" t="s">
        <v>181</v>
      </c>
      <c r="C61" s="4" t="s">
        <v>29</v>
      </c>
      <c r="D61" s="2" t="s">
        <v>30</v>
      </c>
      <c r="E61" s="2">
        <v>1.4</v>
      </c>
      <c r="F61" s="2">
        <v>72</v>
      </c>
      <c r="G61" s="5">
        <f>H61*100/F61</f>
        <v>208.33333333333334</v>
      </c>
      <c r="H61" s="2">
        <v>150</v>
      </c>
      <c r="I61" s="6">
        <f>1/(H61/(10*F61))</f>
        <v>4.8</v>
      </c>
      <c r="J61" s="2">
        <v>30</v>
      </c>
      <c r="K61" s="6">
        <f>I61-(I61/100*J61)</f>
        <v>3.36</v>
      </c>
      <c r="L61" s="7">
        <f>M61/E61</f>
        <v>791.42857142857144</v>
      </c>
      <c r="M61" s="8">
        <v>1108</v>
      </c>
      <c r="N61" s="9">
        <f>A61/K61</f>
        <v>0.29761904761904762</v>
      </c>
      <c r="O61" s="8">
        <f>E61*N61</f>
        <v>0.41666666666666663</v>
      </c>
      <c r="P61" s="10">
        <f>N61*M61</f>
        <v>329.76190476190476</v>
      </c>
    </row>
    <row r="62" spans="1:16" ht="31.5" x14ac:dyDescent="0.25">
      <c r="A62" s="2">
        <v>1</v>
      </c>
      <c r="B62" s="4" t="s">
        <v>181</v>
      </c>
      <c r="C62" s="4" t="s">
        <v>29</v>
      </c>
      <c r="D62" s="2" t="s">
        <v>30</v>
      </c>
      <c r="E62" s="2">
        <v>1.4</v>
      </c>
      <c r="F62" s="2">
        <v>72</v>
      </c>
      <c r="G62" s="5">
        <f>H62*100/F62</f>
        <v>208.33333333333334</v>
      </c>
      <c r="H62" s="2">
        <v>150</v>
      </c>
      <c r="I62" s="6">
        <f>1/(H62/(10*F62))</f>
        <v>4.8</v>
      </c>
      <c r="J62" s="2">
        <v>30</v>
      </c>
      <c r="K62" s="6">
        <f>I62-(I62/100*J62)</f>
        <v>3.36</v>
      </c>
      <c r="L62" s="7">
        <f>M62/E62</f>
        <v>791.42857142857144</v>
      </c>
      <c r="M62" s="8">
        <v>1108</v>
      </c>
      <c r="N62" s="9">
        <f>A62/K62</f>
        <v>0.29761904761904762</v>
      </c>
      <c r="O62" s="8">
        <f>E62*N62</f>
        <v>0.41666666666666663</v>
      </c>
      <c r="P62" s="10">
        <f>N62*M62</f>
        <v>329.76190476190476</v>
      </c>
    </row>
    <row r="63" spans="1:16" x14ac:dyDescent="0.25">
      <c r="A63" s="283" t="s">
        <v>33</v>
      </c>
      <c r="B63" s="284"/>
      <c r="C63" s="284"/>
      <c r="D63" s="285"/>
      <c r="E63" s="2">
        <v>0.9</v>
      </c>
      <c r="F63" s="283">
        <v>5</v>
      </c>
      <c r="G63" s="284"/>
      <c r="H63" s="284"/>
      <c r="I63" s="285"/>
      <c r="J63" s="2"/>
      <c r="K63" s="2"/>
      <c r="L63" s="4">
        <v>0</v>
      </c>
      <c r="M63" s="12">
        <v>420</v>
      </c>
      <c r="N63" s="13">
        <f>N61*(F63/100)</f>
        <v>1.4880952380952382E-2</v>
      </c>
      <c r="O63" s="9">
        <f>E63*N63</f>
        <v>1.3392857142857144E-2</v>
      </c>
      <c r="P63" s="10">
        <f>N63*L63</f>
        <v>0</v>
      </c>
    </row>
    <row r="64" spans="1:16" x14ac:dyDescent="0.25">
      <c r="A64" s="283" t="s">
        <v>33</v>
      </c>
      <c r="B64" s="284"/>
      <c r="C64" s="284"/>
      <c r="D64" s="285"/>
      <c r="E64" s="2">
        <v>0.9</v>
      </c>
      <c r="F64" s="283">
        <v>5</v>
      </c>
      <c r="G64" s="284"/>
      <c r="H64" s="284"/>
      <c r="I64" s="285"/>
      <c r="J64" s="2"/>
      <c r="K64" s="2"/>
      <c r="L64" s="4">
        <v>0</v>
      </c>
      <c r="M64" s="12">
        <v>420</v>
      </c>
      <c r="N64" s="13">
        <f>N62*(F64/100)</f>
        <v>1.4880952380952382E-2</v>
      </c>
      <c r="O64" s="9">
        <f>E64*N64</f>
        <v>1.3392857142857144E-2</v>
      </c>
      <c r="P64" s="10">
        <f>N64*L64</f>
        <v>0</v>
      </c>
    </row>
    <row r="65" spans="1:16" x14ac:dyDescent="0.25">
      <c r="A65" s="2"/>
      <c r="B65" s="283" t="s">
        <v>35</v>
      </c>
      <c r="C65" s="284"/>
      <c r="D65" s="284"/>
      <c r="E65" s="284"/>
      <c r="F65" s="284"/>
      <c r="G65" s="285"/>
      <c r="H65" s="2">
        <f>SUM(H61:H62)</f>
        <v>300</v>
      </c>
      <c r="I65" s="283"/>
      <c r="J65" s="284"/>
      <c r="K65" s="284"/>
      <c r="L65" s="284"/>
      <c r="M65" s="284"/>
      <c r="N65" s="284"/>
      <c r="O65" s="285"/>
      <c r="P65" s="10">
        <f>SUM(P61:P64)</f>
        <v>659.52380952380952</v>
      </c>
    </row>
    <row r="68" spans="1:16" x14ac:dyDescent="0.25">
      <c r="A68" s="392" t="s">
        <v>148</v>
      </c>
      <c r="B68" s="392"/>
      <c r="C68" s="392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</row>
    <row r="69" spans="1:16" x14ac:dyDescent="0.25">
      <c r="A69" s="278" t="s">
        <v>0</v>
      </c>
      <c r="B69" s="278" t="s">
        <v>1</v>
      </c>
      <c r="C69" s="278" t="s">
        <v>2</v>
      </c>
      <c r="D69" s="278" t="s">
        <v>3</v>
      </c>
      <c r="E69" s="278" t="s">
        <v>4</v>
      </c>
      <c r="F69" s="278" t="s">
        <v>5</v>
      </c>
      <c r="G69" s="278" t="s">
        <v>6</v>
      </c>
      <c r="H69" s="278"/>
      <c r="I69" s="278"/>
      <c r="J69" s="278"/>
      <c r="K69" s="278"/>
      <c r="L69" s="278" t="s">
        <v>8</v>
      </c>
      <c r="M69" s="278" t="s">
        <v>9</v>
      </c>
      <c r="N69" s="332" t="s">
        <v>156</v>
      </c>
      <c r="O69" s="332" t="s">
        <v>156</v>
      </c>
      <c r="P69" s="338" t="s">
        <v>12</v>
      </c>
    </row>
    <row r="70" spans="1:16" x14ac:dyDescent="0.25">
      <c r="A70" s="278"/>
      <c r="B70" s="278"/>
      <c r="C70" s="278"/>
      <c r="D70" s="278"/>
      <c r="E70" s="278"/>
      <c r="F70" s="278"/>
      <c r="G70" s="278" t="s">
        <v>13</v>
      </c>
      <c r="H70" s="278" t="s">
        <v>14</v>
      </c>
      <c r="I70" s="278" t="s">
        <v>15</v>
      </c>
      <c r="J70" s="278" t="s">
        <v>16</v>
      </c>
      <c r="K70" s="278" t="s">
        <v>17</v>
      </c>
      <c r="L70" s="278"/>
      <c r="M70" s="278"/>
      <c r="N70" s="333"/>
      <c r="O70" s="333"/>
      <c r="P70" s="338"/>
    </row>
    <row r="71" spans="1:16" x14ac:dyDescent="0.25">
      <c r="A71" s="278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334"/>
      <c r="O71" s="334"/>
      <c r="P71" s="338"/>
    </row>
    <row r="72" spans="1:16" x14ac:dyDescent="0.25">
      <c r="A72" s="3" t="s">
        <v>18</v>
      </c>
      <c r="B72" s="3" t="s">
        <v>19</v>
      </c>
      <c r="C72" s="3"/>
      <c r="D72" s="3" t="s">
        <v>20</v>
      </c>
      <c r="E72" s="3" t="s">
        <v>21</v>
      </c>
      <c r="F72" s="3" t="s">
        <v>22</v>
      </c>
      <c r="G72" s="3" t="s">
        <v>23</v>
      </c>
      <c r="H72" s="3" t="s">
        <v>23</v>
      </c>
      <c r="I72" s="3" t="s">
        <v>24</v>
      </c>
      <c r="J72" s="3" t="s">
        <v>22</v>
      </c>
      <c r="K72" s="3" t="s">
        <v>24</v>
      </c>
      <c r="L72" s="3" t="s">
        <v>25</v>
      </c>
      <c r="M72" s="3" t="s">
        <v>25</v>
      </c>
      <c r="N72" s="3" t="s">
        <v>26</v>
      </c>
      <c r="O72" s="3" t="s">
        <v>27</v>
      </c>
      <c r="P72" s="3" t="s">
        <v>28</v>
      </c>
    </row>
    <row r="73" spans="1:16" ht="31.5" x14ac:dyDescent="0.25">
      <c r="A73" s="3">
        <v>1</v>
      </c>
      <c r="B73" s="12" t="s">
        <v>42</v>
      </c>
      <c r="C73" s="12" t="s">
        <v>29</v>
      </c>
      <c r="D73" s="3" t="s">
        <v>30</v>
      </c>
      <c r="E73" s="3">
        <v>1.4</v>
      </c>
      <c r="F73" s="3">
        <v>73</v>
      </c>
      <c r="G73" s="16">
        <f>H73*(100+10)/F73</f>
        <v>150.68493150684932</v>
      </c>
      <c r="H73" s="3">
        <v>100</v>
      </c>
      <c r="I73" s="17">
        <f>1/(H73/(10*F73))</f>
        <v>7.3000000000000007</v>
      </c>
      <c r="J73" s="3">
        <v>0</v>
      </c>
      <c r="K73" s="17">
        <f>I73-(I73/100*J73)</f>
        <v>7.3000000000000007</v>
      </c>
      <c r="L73" s="8">
        <v>700</v>
      </c>
      <c r="M73" s="8">
        <f>E73*L73</f>
        <v>979.99999999999989</v>
      </c>
      <c r="N73" s="9">
        <f>A73/K73</f>
        <v>0.13698630136986301</v>
      </c>
      <c r="O73" s="9">
        <f>E73*N73</f>
        <v>0.19178082191780821</v>
      </c>
      <c r="P73" s="18">
        <f>O73*L73</f>
        <v>134.24657534246575</v>
      </c>
    </row>
    <row r="74" spans="1:16" ht="31.5" x14ac:dyDescent="0.25">
      <c r="A74" s="3">
        <v>1</v>
      </c>
      <c r="B74" s="12" t="s">
        <v>43</v>
      </c>
      <c r="C74" s="12" t="s">
        <v>32</v>
      </c>
      <c r="D74" s="19">
        <v>7004</v>
      </c>
      <c r="E74" s="3">
        <v>1.3</v>
      </c>
      <c r="F74" s="3">
        <v>58</v>
      </c>
      <c r="G74" s="16">
        <f>H74*100/F74</f>
        <v>86.206896551724142</v>
      </c>
      <c r="H74" s="3">
        <v>50</v>
      </c>
      <c r="I74" s="17">
        <f>1/(H74/(10*F74))</f>
        <v>11.6</v>
      </c>
      <c r="J74" s="3">
        <v>0</v>
      </c>
      <c r="K74" s="17">
        <f>I74-(I74/100*J74)</f>
        <v>11.6</v>
      </c>
      <c r="L74" s="8">
        <v>850</v>
      </c>
      <c r="M74" s="8">
        <f>E74*L74</f>
        <v>1105</v>
      </c>
      <c r="N74" s="9">
        <f>A74/K74</f>
        <v>8.6206896551724144E-2</v>
      </c>
      <c r="O74" s="9">
        <f>E74*N74</f>
        <v>0.1120689655172414</v>
      </c>
      <c r="P74" s="18">
        <f>O74*L74</f>
        <v>95.258620689655189</v>
      </c>
    </row>
    <row r="75" spans="1:16" x14ac:dyDescent="0.25">
      <c r="A75" s="3"/>
      <c r="B75" s="335" t="s">
        <v>35</v>
      </c>
      <c r="C75" s="335"/>
      <c r="D75" s="335"/>
      <c r="E75" s="335"/>
      <c r="F75" s="335"/>
      <c r="G75" s="335"/>
      <c r="H75" s="3">
        <f>SUM(H73:H74)</f>
        <v>150</v>
      </c>
      <c r="I75" s="335"/>
      <c r="J75" s="335"/>
      <c r="K75" s="335"/>
      <c r="L75" s="335"/>
      <c r="M75" s="335"/>
      <c r="N75" s="335"/>
      <c r="O75" s="335"/>
      <c r="P75" s="18">
        <f>SUM(P73:P74)</f>
        <v>229.50519603212092</v>
      </c>
    </row>
    <row r="78" spans="1:16" x14ac:dyDescent="0.25">
      <c r="A78" s="392" t="s">
        <v>135</v>
      </c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2"/>
      <c r="P78" s="392"/>
    </row>
    <row r="79" spans="1:16" x14ac:dyDescent="0.25">
      <c r="A79" s="326" t="s">
        <v>0</v>
      </c>
      <c r="B79" s="326" t="s">
        <v>1</v>
      </c>
      <c r="C79" s="326" t="s">
        <v>2</v>
      </c>
      <c r="D79" s="326" t="s">
        <v>3</v>
      </c>
      <c r="E79" s="326" t="s">
        <v>4</v>
      </c>
      <c r="F79" s="326" t="s">
        <v>5</v>
      </c>
      <c r="G79" s="329" t="s">
        <v>6</v>
      </c>
      <c r="H79" s="330"/>
      <c r="I79" s="329" t="s">
        <v>7</v>
      </c>
      <c r="J79" s="331"/>
      <c r="K79" s="330"/>
      <c r="L79" s="326" t="s">
        <v>8</v>
      </c>
      <c r="M79" s="332" t="s">
        <v>9</v>
      </c>
      <c r="N79" s="332" t="s">
        <v>137</v>
      </c>
      <c r="O79" s="332" t="s">
        <v>137</v>
      </c>
      <c r="P79" s="319" t="s">
        <v>12</v>
      </c>
    </row>
    <row r="80" spans="1:16" x14ac:dyDescent="0.25">
      <c r="A80" s="327"/>
      <c r="B80" s="327"/>
      <c r="C80" s="327"/>
      <c r="D80" s="327"/>
      <c r="E80" s="327"/>
      <c r="F80" s="327"/>
      <c r="G80" s="326" t="s">
        <v>13</v>
      </c>
      <c r="H80" s="326" t="s">
        <v>14</v>
      </c>
      <c r="I80" s="326" t="s">
        <v>15</v>
      </c>
      <c r="J80" s="326" t="s">
        <v>16</v>
      </c>
      <c r="K80" s="326" t="s">
        <v>17</v>
      </c>
      <c r="L80" s="327"/>
      <c r="M80" s="333"/>
      <c r="N80" s="333"/>
      <c r="O80" s="333"/>
      <c r="P80" s="320"/>
    </row>
    <row r="81" spans="1:16" x14ac:dyDescent="0.25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34"/>
      <c r="N81" s="334"/>
      <c r="O81" s="334"/>
      <c r="P81" s="321"/>
    </row>
    <row r="82" spans="1:16" x14ac:dyDescent="0.25">
      <c r="A82" s="2" t="s">
        <v>18</v>
      </c>
      <c r="B82" s="2" t="s">
        <v>19</v>
      </c>
      <c r="C82" s="2"/>
      <c r="D82" s="2" t="s">
        <v>20</v>
      </c>
      <c r="E82" s="2" t="s">
        <v>21</v>
      </c>
      <c r="F82" s="2" t="s">
        <v>22</v>
      </c>
      <c r="G82" s="2" t="s">
        <v>23</v>
      </c>
      <c r="H82" s="2" t="s">
        <v>23</v>
      </c>
      <c r="I82" s="2" t="s">
        <v>24</v>
      </c>
      <c r="J82" s="2" t="s">
        <v>22</v>
      </c>
      <c r="K82" s="2" t="s">
        <v>24</v>
      </c>
      <c r="L82" s="2" t="s">
        <v>25</v>
      </c>
      <c r="M82" s="3" t="s">
        <v>25</v>
      </c>
      <c r="N82" s="3" t="s">
        <v>26</v>
      </c>
      <c r="O82" s="3" t="s">
        <v>27</v>
      </c>
      <c r="P82" s="2" t="s">
        <v>28</v>
      </c>
    </row>
    <row r="83" spans="1:16" ht="31.5" x14ac:dyDescent="0.25">
      <c r="A83" s="2">
        <v>1</v>
      </c>
      <c r="B83" s="4" t="s">
        <v>65</v>
      </c>
      <c r="C83" s="4" t="s">
        <v>29</v>
      </c>
      <c r="D83" s="2" t="s">
        <v>30</v>
      </c>
      <c r="E83" s="2">
        <v>1.6</v>
      </c>
      <c r="F83" s="2">
        <v>74</v>
      </c>
      <c r="G83" s="5">
        <f>H83*100/F83</f>
        <v>243.24324324324326</v>
      </c>
      <c r="H83" s="2">
        <v>180</v>
      </c>
      <c r="I83" s="6">
        <f>1/(H83/(10*F83))</f>
        <v>4.1111111111111107</v>
      </c>
      <c r="J83" s="2">
        <v>30</v>
      </c>
      <c r="K83" s="6">
        <f>I83-(I83/100*J83)</f>
        <v>2.8777777777777773</v>
      </c>
      <c r="L83" s="7">
        <v>0</v>
      </c>
      <c r="M83" s="8">
        <v>0</v>
      </c>
      <c r="N83" s="9">
        <f>A83/K83</f>
        <v>0.34749034749034752</v>
      </c>
      <c r="O83" s="8">
        <f>E83*N83</f>
        <v>0.55598455598455609</v>
      </c>
      <c r="P83" s="10">
        <f>O83*L83</f>
        <v>0</v>
      </c>
    </row>
    <row r="84" spans="1:16" ht="26.25" customHeight="1" x14ac:dyDescent="0.25">
      <c r="A84" s="2">
        <v>1</v>
      </c>
      <c r="B84" s="4" t="s">
        <v>136</v>
      </c>
      <c r="C84" s="4" t="s">
        <v>32</v>
      </c>
      <c r="D84" s="11">
        <v>7042</v>
      </c>
      <c r="E84" s="2">
        <v>1.2</v>
      </c>
      <c r="F84" s="2">
        <v>64</v>
      </c>
      <c r="G84" s="5">
        <f>H84*100/F84</f>
        <v>281.25</v>
      </c>
      <c r="H84" s="2">
        <v>180</v>
      </c>
      <c r="I84" s="6">
        <f>1/(H84/(10*F84))</f>
        <v>3.5555555555555554</v>
      </c>
      <c r="J84" s="2">
        <v>0</v>
      </c>
      <c r="K84" s="6">
        <f>I84-(I84/100*J84)</f>
        <v>3.5555555555555554</v>
      </c>
      <c r="L84" s="7">
        <f>M84/E84</f>
        <v>916.66666666666674</v>
      </c>
      <c r="M84" s="8">
        <v>1100</v>
      </c>
      <c r="N84" s="9">
        <f>A84/K84</f>
        <v>0.28125</v>
      </c>
      <c r="O84" s="9">
        <f>E84*N84</f>
        <v>0.33749999999999997</v>
      </c>
      <c r="P84" s="10">
        <f>N84*M84</f>
        <v>309.375</v>
      </c>
    </row>
    <row r="85" spans="1:16" x14ac:dyDescent="0.25">
      <c r="A85" s="283" t="s">
        <v>33</v>
      </c>
      <c r="B85" s="284"/>
      <c r="C85" s="284"/>
      <c r="D85" s="285"/>
      <c r="E85" s="2">
        <v>0.9</v>
      </c>
      <c r="F85" s="283">
        <v>5</v>
      </c>
      <c r="G85" s="284"/>
      <c r="H85" s="284"/>
      <c r="I85" s="285"/>
      <c r="J85" s="2"/>
      <c r="K85" s="2"/>
      <c r="L85" s="4">
        <v>420</v>
      </c>
      <c r="M85" s="12">
        <v>420</v>
      </c>
      <c r="N85" s="13">
        <f>N83*(F85/100)</f>
        <v>1.7374517374517378E-2</v>
      </c>
      <c r="O85" s="9">
        <f>E85*N85</f>
        <v>1.5637065637065642E-2</v>
      </c>
      <c r="P85" s="10">
        <f>N85*L85</f>
        <v>7.2972972972972991</v>
      </c>
    </row>
    <row r="86" spans="1:16" x14ac:dyDescent="0.25">
      <c r="A86" s="283" t="s">
        <v>34</v>
      </c>
      <c r="B86" s="284"/>
      <c r="C86" s="284"/>
      <c r="D86" s="285"/>
      <c r="E86" s="2">
        <v>0.9</v>
      </c>
      <c r="F86" s="283">
        <v>5</v>
      </c>
      <c r="G86" s="284"/>
      <c r="H86" s="284"/>
      <c r="I86" s="285"/>
      <c r="J86" s="2"/>
      <c r="K86" s="2"/>
      <c r="L86" s="4">
        <v>420</v>
      </c>
      <c r="M86" s="12">
        <v>420</v>
      </c>
      <c r="N86" s="13">
        <f>N84*(F86/100)</f>
        <v>1.40625E-2</v>
      </c>
      <c r="O86" s="9">
        <f>E86*N86</f>
        <v>1.2656250000000001E-2</v>
      </c>
      <c r="P86" s="10">
        <f>N86*L86</f>
        <v>5.90625</v>
      </c>
    </row>
    <row r="87" spans="1:16" x14ac:dyDescent="0.25">
      <c r="A87" s="2"/>
      <c r="B87" s="283" t="s">
        <v>35</v>
      </c>
      <c r="C87" s="284"/>
      <c r="D87" s="284"/>
      <c r="E87" s="284"/>
      <c r="F87" s="284"/>
      <c r="G87" s="285"/>
      <c r="H87" s="2">
        <f>SUM(H83:H84)</f>
        <v>360</v>
      </c>
      <c r="I87" s="283"/>
      <c r="J87" s="284"/>
      <c r="K87" s="284"/>
      <c r="L87" s="284"/>
      <c r="M87" s="284"/>
      <c r="N87" s="284"/>
      <c r="O87" s="285"/>
      <c r="P87" s="10">
        <f>SUM(P83:P86)</f>
        <v>322.57854729729729</v>
      </c>
    </row>
    <row r="89" spans="1:16" x14ac:dyDescent="0.25">
      <c r="A89" s="326" t="s">
        <v>0</v>
      </c>
      <c r="B89" s="326" t="s">
        <v>1</v>
      </c>
      <c r="C89" s="326" t="s">
        <v>2</v>
      </c>
      <c r="D89" s="326" t="s">
        <v>3</v>
      </c>
      <c r="E89" s="326" t="s">
        <v>4</v>
      </c>
      <c r="F89" s="326" t="s">
        <v>5</v>
      </c>
      <c r="G89" s="329" t="s">
        <v>6</v>
      </c>
      <c r="H89" s="330"/>
      <c r="I89" s="329" t="s">
        <v>7</v>
      </c>
      <c r="J89" s="331"/>
      <c r="K89" s="330"/>
      <c r="L89" s="326" t="s">
        <v>8</v>
      </c>
      <c r="M89" s="332" t="s">
        <v>9</v>
      </c>
      <c r="N89" s="332" t="s">
        <v>137</v>
      </c>
      <c r="O89" s="332" t="s">
        <v>137</v>
      </c>
      <c r="P89" s="319" t="s">
        <v>12</v>
      </c>
    </row>
    <row r="90" spans="1:16" x14ac:dyDescent="0.25">
      <c r="A90" s="327"/>
      <c r="B90" s="327"/>
      <c r="C90" s="327"/>
      <c r="D90" s="327"/>
      <c r="E90" s="327"/>
      <c r="F90" s="327"/>
      <c r="G90" s="326" t="s">
        <v>13</v>
      </c>
      <c r="H90" s="326" t="s">
        <v>14</v>
      </c>
      <c r="I90" s="326" t="s">
        <v>15</v>
      </c>
      <c r="J90" s="326" t="s">
        <v>16</v>
      </c>
      <c r="K90" s="326" t="s">
        <v>17</v>
      </c>
      <c r="L90" s="327"/>
      <c r="M90" s="333"/>
      <c r="N90" s="333"/>
      <c r="O90" s="333"/>
      <c r="P90" s="320"/>
    </row>
    <row r="91" spans="1:16" x14ac:dyDescent="0.25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34"/>
      <c r="N91" s="334"/>
      <c r="O91" s="334"/>
      <c r="P91" s="321"/>
    </row>
    <row r="92" spans="1:16" ht="31.5" x14ac:dyDescent="0.25">
      <c r="A92" s="3">
        <v>1</v>
      </c>
      <c r="B92" s="12" t="s">
        <v>43</v>
      </c>
      <c r="C92" s="12" t="s">
        <v>32</v>
      </c>
      <c r="D92" s="19">
        <v>1021</v>
      </c>
      <c r="E92" s="3">
        <v>1.3</v>
      </c>
      <c r="F92" s="3">
        <v>58</v>
      </c>
      <c r="G92" s="16">
        <f>H92*100/F92</f>
        <v>103.44827586206897</v>
      </c>
      <c r="H92" s="3">
        <v>60</v>
      </c>
      <c r="I92" s="17">
        <f>1/(H92/(10*F92))</f>
        <v>9.6666666666666661</v>
      </c>
      <c r="J92" s="3">
        <v>0</v>
      </c>
      <c r="K92" s="17">
        <f>I92-(I92/100*J92)</f>
        <v>9.6666666666666661</v>
      </c>
      <c r="L92" s="8">
        <v>859</v>
      </c>
      <c r="M92" s="8">
        <f>E92*L92</f>
        <v>1116.7</v>
      </c>
      <c r="N92" s="9">
        <f>A92/K92</f>
        <v>0.10344827586206898</v>
      </c>
      <c r="O92" s="9">
        <f>E92*N92</f>
        <v>0.13448275862068967</v>
      </c>
      <c r="P92" s="18">
        <f>O92*L92</f>
        <v>115.52068965517243</v>
      </c>
    </row>
    <row r="95" spans="1:16" x14ac:dyDescent="0.25">
      <c r="A95" s="2">
        <v>1</v>
      </c>
      <c r="B95" s="4" t="s">
        <v>136</v>
      </c>
      <c r="C95" s="4" t="s">
        <v>32</v>
      </c>
      <c r="D95" s="11">
        <v>1021</v>
      </c>
      <c r="E95" s="2">
        <v>1.4</v>
      </c>
      <c r="F95" s="2">
        <v>64</v>
      </c>
      <c r="G95" s="5">
        <f>H95*100/F95</f>
        <v>93.75</v>
      </c>
      <c r="H95" s="2">
        <v>60</v>
      </c>
      <c r="I95" s="6">
        <f>1/(H95/(10*F95))</f>
        <v>10.666666666666666</v>
      </c>
      <c r="J95" s="2">
        <v>0</v>
      </c>
      <c r="K95" s="6">
        <f>I95-(I95/100*J95)</f>
        <v>10.666666666666666</v>
      </c>
      <c r="L95" s="7">
        <f>M95/E95</f>
        <v>1329.2857142857144</v>
      </c>
      <c r="M95" s="8">
        <v>1861</v>
      </c>
      <c r="N95" s="9">
        <f>A95/K95</f>
        <v>9.375E-2</v>
      </c>
      <c r="O95" s="9">
        <f>E95*N95</f>
        <v>0.13124999999999998</v>
      </c>
      <c r="P95" s="10">
        <f>N95*M95</f>
        <v>174.46875</v>
      </c>
    </row>
    <row r="98" spans="1:16" ht="31.5" x14ac:dyDescent="0.25">
      <c r="A98" s="3">
        <v>1</v>
      </c>
      <c r="B98" s="12" t="s">
        <v>43</v>
      </c>
      <c r="C98" s="12" t="s">
        <v>32</v>
      </c>
      <c r="D98" s="19">
        <v>3020</v>
      </c>
      <c r="E98" s="3">
        <v>1.3</v>
      </c>
      <c r="F98" s="3">
        <v>58</v>
      </c>
      <c r="G98" s="16">
        <f>H98*100/F98</f>
        <v>103.44827586206897</v>
      </c>
      <c r="H98" s="3">
        <v>60</v>
      </c>
      <c r="I98" s="17">
        <f>1/(H98/(10*F98))</f>
        <v>9.6666666666666661</v>
      </c>
      <c r="J98" s="3">
        <v>0</v>
      </c>
      <c r="K98" s="17">
        <f>I98-(I98/100*J98)</f>
        <v>9.6666666666666661</v>
      </c>
      <c r="L98" s="8">
        <v>818</v>
      </c>
      <c r="M98" s="8">
        <f>E98*L98</f>
        <v>1063.4000000000001</v>
      </c>
      <c r="N98" s="9">
        <f>A98/K98</f>
        <v>0.10344827586206898</v>
      </c>
      <c r="O98" s="9">
        <f>E98*N98</f>
        <v>0.13448275862068967</v>
      </c>
      <c r="P98" s="18">
        <f>O98*L98</f>
        <v>110.00689655172415</v>
      </c>
    </row>
    <row r="101" spans="1:16" x14ac:dyDescent="0.25">
      <c r="A101" s="2">
        <v>1</v>
      </c>
      <c r="B101" s="4" t="s">
        <v>136</v>
      </c>
      <c r="C101" s="4" t="s">
        <v>32</v>
      </c>
      <c r="D101" s="11">
        <v>3020</v>
      </c>
      <c r="E101" s="2">
        <v>1.4</v>
      </c>
      <c r="F101" s="2">
        <v>64</v>
      </c>
      <c r="G101" s="5">
        <f>H101*100/F101</f>
        <v>93.75</v>
      </c>
      <c r="H101" s="2">
        <v>60</v>
      </c>
      <c r="I101" s="6">
        <f>1/(H101/(10*F101))</f>
        <v>10.666666666666666</v>
      </c>
      <c r="J101" s="2">
        <v>0</v>
      </c>
      <c r="K101" s="6">
        <f>I101-(I101/100*J101)</f>
        <v>10.666666666666666</v>
      </c>
      <c r="L101" s="7">
        <f>M101/E101</f>
        <v>1014.7214285714285</v>
      </c>
      <c r="M101" s="8">
        <v>1420.61</v>
      </c>
      <c r="N101" s="9">
        <f>A101/K101</f>
        <v>9.375E-2</v>
      </c>
      <c r="O101" s="9">
        <f>E101*N101</f>
        <v>0.13124999999999998</v>
      </c>
      <c r="P101" s="10">
        <f>N101*M101</f>
        <v>133.1821875</v>
      </c>
    </row>
    <row r="104" spans="1:16" ht="31.5" x14ac:dyDescent="0.25">
      <c r="A104" s="3">
        <v>1</v>
      </c>
      <c r="B104" s="12" t="s">
        <v>43</v>
      </c>
      <c r="C104" s="12" t="s">
        <v>32</v>
      </c>
      <c r="D104" s="19">
        <v>9010</v>
      </c>
      <c r="E104" s="3">
        <v>1.3</v>
      </c>
      <c r="F104" s="3">
        <v>58</v>
      </c>
      <c r="G104" s="16">
        <f>H104*100/F104</f>
        <v>103.44827586206897</v>
      </c>
      <c r="H104" s="3">
        <v>60</v>
      </c>
      <c r="I104" s="17">
        <f>1/(H104/(10*F104))</f>
        <v>9.6666666666666661</v>
      </c>
      <c r="J104" s="3">
        <v>0</v>
      </c>
      <c r="K104" s="17">
        <f>I104-(I104/100*J104)</f>
        <v>9.6666666666666661</v>
      </c>
      <c r="L104" s="8">
        <v>810</v>
      </c>
      <c r="M104" s="8">
        <f>E104*L104</f>
        <v>1053</v>
      </c>
      <c r="N104" s="9">
        <f>A104/K104</f>
        <v>0.10344827586206898</v>
      </c>
      <c r="O104" s="9">
        <f>E104*N104</f>
        <v>0.13448275862068967</v>
      </c>
      <c r="P104" s="18">
        <f>O104*L104</f>
        <v>108.93103448275863</v>
      </c>
    </row>
    <row r="107" spans="1:16" x14ac:dyDescent="0.25">
      <c r="A107" s="2">
        <v>1</v>
      </c>
      <c r="B107" s="4" t="s">
        <v>136</v>
      </c>
      <c r="C107" s="4" t="s">
        <v>32</v>
      </c>
      <c r="D107" s="11">
        <v>3020</v>
      </c>
      <c r="E107" s="2">
        <v>1.4</v>
      </c>
      <c r="F107" s="2">
        <v>64</v>
      </c>
      <c r="G107" s="5">
        <f>H107*100/F107</f>
        <v>93.75</v>
      </c>
      <c r="H107" s="2">
        <v>60</v>
      </c>
      <c r="I107" s="6">
        <f>1/(H107/(10*F107))</f>
        <v>10.666666666666666</v>
      </c>
      <c r="J107" s="2">
        <v>0</v>
      </c>
      <c r="K107" s="6">
        <f>I107-(I107/100*J107)</f>
        <v>10.666666666666666</v>
      </c>
      <c r="L107" s="7">
        <f>M107/E107</f>
        <v>964.28571428571433</v>
      </c>
      <c r="M107" s="8">
        <v>1350</v>
      </c>
      <c r="N107" s="9">
        <f>A107/K107</f>
        <v>9.375E-2</v>
      </c>
      <c r="O107" s="9">
        <f>E107*N107</f>
        <v>0.13124999999999998</v>
      </c>
      <c r="P107" s="10">
        <f>N107*M107</f>
        <v>126.5625</v>
      </c>
    </row>
  </sheetData>
  <mergeCells count="200">
    <mergeCell ref="P89:P91"/>
    <mergeCell ref="G90:G91"/>
    <mergeCell ref="H90:H91"/>
    <mergeCell ref="I90:I91"/>
    <mergeCell ref="J90:J91"/>
    <mergeCell ref="K90:K91"/>
    <mergeCell ref="A89:A91"/>
    <mergeCell ref="B89:B91"/>
    <mergeCell ref="C89:C91"/>
    <mergeCell ref="D89:D91"/>
    <mergeCell ref="E89:E91"/>
    <mergeCell ref="F89:F91"/>
    <mergeCell ref="G89:H89"/>
    <mergeCell ref="I89:K89"/>
    <mergeCell ref="A86:D86"/>
    <mergeCell ref="F86:I86"/>
    <mergeCell ref="B87:G87"/>
    <mergeCell ref="I87:O87"/>
    <mergeCell ref="L89:L91"/>
    <mergeCell ref="M89:M91"/>
    <mergeCell ref="N89:N91"/>
    <mergeCell ref="O89:O91"/>
    <mergeCell ref="I80:I81"/>
    <mergeCell ref="J80:J81"/>
    <mergeCell ref="K80:K81"/>
    <mergeCell ref="A85:D85"/>
    <mergeCell ref="F85:I85"/>
    <mergeCell ref="A78:P78"/>
    <mergeCell ref="A79:A81"/>
    <mergeCell ref="B79:B81"/>
    <mergeCell ref="C79:C81"/>
    <mergeCell ref="D79:D81"/>
    <mergeCell ref="E79:E81"/>
    <mergeCell ref="F79:F81"/>
    <mergeCell ref="G79:H79"/>
    <mergeCell ref="I79:K79"/>
    <mergeCell ref="L79:L81"/>
    <mergeCell ref="M79:M81"/>
    <mergeCell ref="N79:N81"/>
    <mergeCell ref="O79:O81"/>
    <mergeCell ref="P79:P81"/>
    <mergeCell ref="G80:G81"/>
    <mergeCell ref="H80:H81"/>
    <mergeCell ref="B75:G75"/>
    <mergeCell ref="I75:O75"/>
    <mergeCell ref="A57:A59"/>
    <mergeCell ref="B57:B59"/>
    <mergeCell ref="C57:C59"/>
    <mergeCell ref="D57:D59"/>
    <mergeCell ref="E57:E59"/>
    <mergeCell ref="F57:F59"/>
    <mergeCell ref="G57:H57"/>
    <mergeCell ref="I57:K57"/>
    <mergeCell ref="L57:L59"/>
    <mergeCell ref="M57:M59"/>
    <mergeCell ref="N57:N59"/>
    <mergeCell ref="O57:O59"/>
    <mergeCell ref="N69:N71"/>
    <mergeCell ref="O69:O71"/>
    <mergeCell ref="A69:A71"/>
    <mergeCell ref="B69:B71"/>
    <mergeCell ref="C69:C71"/>
    <mergeCell ref="D69:D71"/>
    <mergeCell ref="E69:E71"/>
    <mergeCell ref="A64:D64"/>
    <mergeCell ref="F64:I64"/>
    <mergeCell ref="B65:G65"/>
    <mergeCell ref="P69:P71"/>
    <mergeCell ref="G70:G71"/>
    <mergeCell ref="H70:H71"/>
    <mergeCell ref="I70:I71"/>
    <mergeCell ref="J70:J71"/>
    <mergeCell ref="K70:K71"/>
    <mergeCell ref="F69:F71"/>
    <mergeCell ref="G69:H69"/>
    <mergeCell ref="I69:K69"/>
    <mergeCell ref="L69:L71"/>
    <mergeCell ref="M69:M71"/>
    <mergeCell ref="A52:D52"/>
    <mergeCell ref="F52:I52"/>
    <mergeCell ref="B53:G53"/>
    <mergeCell ref="I53:O53"/>
    <mergeCell ref="A68:P68"/>
    <mergeCell ref="A56:P56"/>
    <mergeCell ref="I46:I47"/>
    <mergeCell ref="J46:J47"/>
    <mergeCell ref="K46:K47"/>
    <mergeCell ref="A51:D51"/>
    <mergeCell ref="F51:I51"/>
    <mergeCell ref="I65:O65"/>
    <mergeCell ref="A63:D63"/>
    <mergeCell ref="F63:I63"/>
    <mergeCell ref="P57:P59"/>
    <mergeCell ref="G58:G59"/>
    <mergeCell ref="H58:H59"/>
    <mergeCell ref="I58:I59"/>
    <mergeCell ref="J58:J59"/>
    <mergeCell ref="K58:K59"/>
    <mergeCell ref="A44:P44"/>
    <mergeCell ref="A45:A47"/>
    <mergeCell ref="B45:B47"/>
    <mergeCell ref="C45:C47"/>
    <mergeCell ref="D45:D47"/>
    <mergeCell ref="E45:E47"/>
    <mergeCell ref="F45:F47"/>
    <mergeCell ref="G45:H45"/>
    <mergeCell ref="I45:K45"/>
    <mergeCell ref="L45:L47"/>
    <mergeCell ref="M45:M47"/>
    <mergeCell ref="N45:N47"/>
    <mergeCell ref="O45:O47"/>
    <mergeCell ref="P45:P47"/>
    <mergeCell ref="G46:G47"/>
    <mergeCell ref="H46:H47"/>
    <mergeCell ref="B40:G40"/>
    <mergeCell ref="I40:O40"/>
    <mergeCell ref="H35:H36"/>
    <mergeCell ref="I35:I36"/>
    <mergeCell ref="J35:J36"/>
    <mergeCell ref="K35:K36"/>
    <mergeCell ref="A1:P1"/>
    <mergeCell ref="A33:P33"/>
    <mergeCell ref="A34:A36"/>
    <mergeCell ref="B34:B36"/>
    <mergeCell ref="C34:C36"/>
    <mergeCell ref="D34:D36"/>
    <mergeCell ref="E34:E36"/>
    <mergeCell ref="F34:F36"/>
    <mergeCell ref="G34:H34"/>
    <mergeCell ref="I34:K34"/>
    <mergeCell ref="L34:L36"/>
    <mergeCell ref="M34:M36"/>
    <mergeCell ref="N34:N36"/>
    <mergeCell ref="O34:O36"/>
    <mergeCell ref="P34:P36"/>
    <mergeCell ref="G35:G36"/>
    <mergeCell ref="A2:A4"/>
    <mergeCell ref="B2:B4"/>
    <mergeCell ref="O2:O4"/>
    <mergeCell ref="P2:P4"/>
    <mergeCell ref="G3:G4"/>
    <mergeCell ref="H3:H4"/>
    <mergeCell ref="I3:I4"/>
    <mergeCell ref="J3:J4"/>
    <mergeCell ref="K3:K4"/>
    <mergeCell ref="B8:G8"/>
    <mergeCell ref="I8:O8"/>
    <mergeCell ref="C2:C4"/>
    <mergeCell ref="D2:D4"/>
    <mergeCell ref="E2:E4"/>
    <mergeCell ref="F2:F4"/>
    <mergeCell ref="G2:H2"/>
    <mergeCell ref="I2:K2"/>
    <mergeCell ref="L2:L4"/>
    <mergeCell ref="M2:M4"/>
    <mergeCell ref="N2:N4"/>
    <mergeCell ref="P22:P24"/>
    <mergeCell ref="G23:G24"/>
    <mergeCell ref="H23:H24"/>
    <mergeCell ref="I23:I24"/>
    <mergeCell ref="J23:J24"/>
    <mergeCell ref="K23:K24"/>
    <mergeCell ref="A22:A24"/>
    <mergeCell ref="B22:B24"/>
    <mergeCell ref="C22:C24"/>
    <mergeCell ref="D22:D24"/>
    <mergeCell ref="E22:E24"/>
    <mergeCell ref="F22:F24"/>
    <mergeCell ref="G22:H22"/>
    <mergeCell ref="I22:K22"/>
    <mergeCell ref="L22:L24"/>
    <mergeCell ref="A28:D28"/>
    <mergeCell ref="F28:I28"/>
    <mergeCell ref="A29:D29"/>
    <mergeCell ref="F29:I29"/>
    <mergeCell ref="B30:G30"/>
    <mergeCell ref="I30:O30"/>
    <mergeCell ref="M22:M24"/>
    <mergeCell ref="N22:N24"/>
    <mergeCell ref="O22:O24"/>
    <mergeCell ref="A9:A11"/>
    <mergeCell ref="B9:B11"/>
    <mergeCell ref="C9:C11"/>
    <mergeCell ref="D9:D11"/>
    <mergeCell ref="E9:E11"/>
    <mergeCell ref="F9:F11"/>
    <mergeCell ref="G9:H9"/>
    <mergeCell ref="I9:K9"/>
    <mergeCell ref="L9:L11"/>
    <mergeCell ref="B15:G15"/>
    <mergeCell ref="I15:O15"/>
    <mergeCell ref="M9:M11"/>
    <mergeCell ref="N9:N11"/>
    <mergeCell ref="O9:O11"/>
    <mergeCell ref="P9:P11"/>
    <mergeCell ref="G10:G11"/>
    <mergeCell ref="H10:H11"/>
    <mergeCell ref="I10:I11"/>
    <mergeCell ref="J10:J11"/>
    <mergeCell ref="K10:K11"/>
  </mergeCells>
  <pageMargins left="0.7" right="0.7" top="0.75" bottom="0.75" header="0.3" footer="0.3"/>
  <pageSetup paperSize="9" scale="88" firstPageNumber="4294967295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4"/>
  <sheetViews>
    <sheetView topLeftCell="A68" zoomScale="55" zoomScaleNormal="55" workbookViewId="0">
      <selection activeCell="A6" sqref="A6:R18"/>
    </sheetView>
  </sheetViews>
  <sheetFormatPr defaultColWidth="9.140625" defaultRowHeight="15" x14ac:dyDescent="0.25"/>
  <cols>
    <col min="1" max="1" width="10.7109375" style="14" customWidth="1"/>
    <col min="2" max="2" width="31.85546875" style="14" customWidth="1"/>
    <col min="3" max="3" width="14.85546875" style="14" customWidth="1"/>
    <col min="4" max="4" width="13.28515625" style="14" customWidth="1"/>
    <col min="5" max="5" width="14" style="14" customWidth="1"/>
    <col min="6" max="6" width="10.7109375" style="14" customWidth="1"/>
    <col min="7" max="7" width="12" style="14" customWidth="1"/>
    <col min="8" max="8" width="20.42578125" style="14" customWidth="1"/>
    <col min="9" max="9" width="11.7109375" style="14" customWidth="1"/>
    <col min="10" max="11" width="9.140625" style="14" customWidth="1"/>
    <col min="12" max="12" width="17.140625" style="14" customWidth="1"/>
    <col min="13" max="13" width="15.5703125" style="14" customWidth="1"/>
    <col min="14" max="15" width="16.7109375" style="14" customWidth="1"/>
    <col min="16" max="17" width="24.140625" style="14" customWidth="1"/>
    <col min="18" max="18" width="17.85546875" style="14" customWidth="1"/>
    <col min="19" max="19" width="16.5703125" style="14" customWidth="1"/>
    <col min="20" max="16384" width="9.140625" style="14"/>
  </cols>
  <sheetData>
    <row r="1" spans="1:21" x14ac:dyDescent="0.25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21" x14ac:dyDescent="0.25">
      <c r="A2" s="37"/>
    </row>
    <row r="3" spans="1:21" x14ac:dyDescent="0.25">
      <c r="A3" s="37"/>
    </row>
    <row r="4" spans="1:21" x14ac:dyDescent="0.25">
      <c r="A4" s="37"/>
    </row>
    <row r="5" spans="1:21" ht="132" customHeight="1" thickBot="1" x14ac:dyDescent="0.3">
      <c r="A5" s="37"/>
    </row>
    <row r="6" spans="1:21" ht="15" customHeight="1" x14ac:dyDescent="0.25">
      <c r="A6" s="422" t="s">
        <v>365</v>
      </c>
      <c r="B6" s="416"/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23"/>
    </row>
    <row r="7" spans="1:21" ht="36" customHeight="1" thickBot="1" x14ac:dyDescent="0.3">
      <c r="A7" s="424"/>
      <c r="B7" s="425"/>
      <c r="C7" s="425"/>
      <c r="D7" s="425"/>
      <c r="E7" s="425"/>
      <c r="F7" s="425"/>
      <c r="G7" s="425"/>
      <c r="H7" s="425"/>
      <c r="I7" s="425"/>
      <c r="J7" s="425"/>
      <c r="K7" s="425"/>
      <c r="L7" s="425"/>
      <c r="M7" s="425"/>
      <c r="N7" s="425"/>
      <c r="O7" s="425"/>
      <c r="P7" s="425"/>
      <c r="Q7" s="425"/>
      <c r="R7" s="426"/>
    </row>
    <row r="8" spans="1:21" s="15" customFormat="1" ht="39.75" customHeight="1" x14ac:dyDescent="0.25">
      <c r="A8" s="317" t="s">
        <v>0</v>
      </c>
      <c r="B8" s="324" t="s">
        <v>1</v>
      </c>
      <c r="C8" s="324" t="s">
        <v>2</v>
      </c>
      <c r="D8" s="324" t="s">
        <v>3</v>
      </c>
      <c r="E8" s="324" t="s">
        <v>4</v>
      </c>
      <c r="F8" s="324" t="s">
        <v>5</v>
      </c>
      <c r="G8" s="324" t="s">
        <v>6</v>
      </c>
      <c r="H8" s="324"/>
      <c r="I8" s="324" t="s">
        <v>7</v>
      </c>
      <c r="J8" s="324"/>
      <c r="K8" s="324"/>
      <c r="L8" s="324" t="s">
        <v>8</v>
      </c>
      <c r="M8" s="286" t="s">
        <v>9</v>
      </c>
      <c r="N8" s="286" t="s">
        <v>10</v>
      </c>
      <c r="O8" s="286" t="s">
        <v>368</v>
      </c>
      <c r="P8" s="286" t="s">
        <v>366</v>
      </c>
      <c r="Q8" s="286" t="s">
        <v>367</v>
      </c>
      <c r="R8" s="366" t="s">
        <v>12</v>
      </c>
    </row>
    <row r="9" spans="1:21" s="15" customFormat="1" ht="15.75" x14ac:dyDescent="0.25">
      <c r="A9" s="318"/>
      <c r="B9" s="322"/>
      <c r="C9" s="322"/>
      <c r="D9" s="322"/>
      <c r="E9" s="322"/>
      <c r="F9" s="322"/>
      <c r="G9" s="322" t="s">
        <v>13</v>
      </c>
      <c r="H9" s="322" t="s">
        <v>14</v>
      </c>
      <c r="I9" s="322" t="s">
        <v>15</v>
      </c>
      <c r="J9" s="322" t="s">
        <v>16</v>
      </c>
      <c r="K9" s="322" t="s">
        <v>17</v>
      </c>
      <c r="L9" s="322"/>
      <c r="M9" s="278"/>
      <c r="N9" s="278"/>
      <c r="O9" s="278"/>
      <c r="P9" s="278"/>
      <c r="Q9" s="278"/>
      <c r="R9" s="367"/>
    </row>
    <row r="10" spans="1:21" s="15" customFormat="1" ht="15.75" x14ac:dyDescent="0.25">
      <c r="A10" s="318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278"/>
      <c r="N10" s="278"/>
      <c r="O10" s="278"/>
      <c r="P10" s="278"/>
      <c r="Q10" s="278"/>
      <c r="R10" s="367"/>
    </row>
    <row r="11" spans="1:21" s="15" customFormat="1" ht="28.5" customHeight="1" x14ac:dyDescent="0.25">
      <c r="A11" s="175" t="s">
        <v>18</v>
      </c>
      <c r="B11" s="174" t="s">
        <v>19</v>
      </c>
      <c r="C11" s="174"/>
      <c r="D11" s="174" t="s">
        <v>20</v>
      </c>
      <c r="E11" s="174" t="s">
        <v>21</v>
      </c>
      <c r="F11" s="174" t="s">
        <v>22</v>
      </c>
      <c r="G11" s="174" t="s">
        <v>23</v>
      </c>
      <c r="H11" s="174" t="s">
        <v>23</v>
      </c>
      <c r="I11" s="174" t="s">
        <v>24</v>
      </c>
      <c r="J11" s="174" t="s">
        <v>22</v>
      </c>
      <c r="K11" s="174" t="s">
        <v>24</v>
      </c>
      <c r="L11" s="174" t="s">
        <v>25</v>
      </c>
      <c r="M11" s="173" t="s">
        <v>25</v>
      </c>
      <c r="N11" s="173" t="s">
        <v>26</v>
      </c>
      <c r="O11" s="173" t="s">
        <v>27</v>
      </c>
      <c r="P11" s="173" t="s">
        <v>339</v>
      </c>
      <c r="Q11" s="173" t="s">
        <v>339</v>
      </c>
      <c r="R11" s="21" t="s">
        <v>25</v>
      </c>
    </row>
    <row r="12" spans="1:21" s="15" customFormat="1" ht="38.25" customHeight="1" x14ac:dyDescent="0.25">
      <c r="A12" s="175">
        <v>67239.009999999995</v>
      </c>
      <c r="B12" s="12" t="s">
        <v>42</v>
      </c>
      <c r="C12" s="12" t="s">
        <v>29</v>
      </c>
      <c r="D12" s="173" t="s">
        <v>30</v>
      </c>
      <c r="E12" s="173">
        <v>1.4</v>
      </c>
      <c r="F12" s="173">
        <v>73</v>
      </c>
      <c r="G12" s="16">
        <f>H12*100/F12</f>
        <v>109.58904109589041</v>
      </c>
      <c r="H12" s="173">
        <v>80</v>
      </c>
      <c r="I12" s="6">
        <f>1/(H12/(10*F12))</f>
        <v>9.125</v>
      </c>
      <c r="J12" s="174">
        <v>30</v>
      </c>
      <c r="K12" s="6">
        <f>I12-(I12/100*J12)</f>
        <v>6.3875000000000002</v>
      </c>
      <c r="L12" s="7">
        <f>508.33*1.2</f>
        <v>609.99599999999998</v>
      </c>
      <c r="M12" s="8">
        <f>L12*E12</f>
        <v>853.99439999999993</v>
      </c>
      <c r="N12" s="9">
        <f>A12/K12</f>
        <v>10526.65518590998</v>
      </c>
      <c r="O12" s="9">
        <f>80/10/73*1.4</f>
        <v>0.15342465753424656</v>
      </c>
      <c r="P12" s="112">
        <f>H12/10/F12*E12*A12</f>
        <v>10316.12208219178</v>
      </c>
      <c r="Q12" s="112">
        <f>N12*E12</f>
        <v>14737.317260273971</v>
      </c>
      <c r="R12" s="22">
        <f>Q12*L12</f>
        <v>8989704.5794980805</v>
      </c>
    </row>
    <row r="13" spans="1:21" s="15" customFormat="1" ht="57.75" customHeight="1" x14ac:dyDescent="0.25">
      <c r="A13" s="175">
        <v>3530</v>
      </c>
      <c r="B13" s="4" t="s">
        <v>271</v>
      </c>
      <c r="C13" s="4" t="s">
        <v>29</v>
      </c>
      <c r="D13" s="174"/>
      <c r="E13" s="174">
        <v>1</v>
      </c>
      <c r="F13" s="174">
        <v>83.4</v>
      </c>
      <c r="G13" s="5">
        <f>H13*100/F13</f>
        <v>5035.9712230215828</v>
      </c>
      <c r="H13" s="174">
        <v>4200</v>
      </c>
      <c r="I13" s="6">
        <f>1/(H13/(10*F13))</f>
        <v>0.19857142857142859</v>
      </c>
      <c r="J13" s="174">
        <v>40</v>
      </c>
      <c r="K13" s="6">
        <f>I13-(I13/100*J13)</f>
        <v>0.11914285714285716</v>
      </c>
      <c r="L13" s="7">
        <f>960*1.2</f>
        <v>1152</v>
      </c>
      <c r="M13" s="8">
        <f>L13*E13</f>
        <v>1152</v>
      </c>
      <c r="N13" s="9">
        <f>A13/K13</f>
        <v>29628.297362110308</v>
      </c>
      <c r="O13" s="9">
        <f>H13/1000*1.2</f>
        <v>5.04</v>
      </c>
      <c r="P13" s="8">
        <f>H13/10/F13*E13*A13</f>
        <v>17776.978417266186</v>
      </c>
      <c r="Q13" s="112">
        <f>H13/1000*A13*1.2/0.6</f>
        <v>29652.000000000004</v>
      </c>
      <c r="R13" s="22">
        <f t="shared" ref="R13:R14" si="0">Q13*L13</f>
        <v>34159104.000000007</v>
      </c>
      <c r="S13" s="182"/>
      <c r="U13" s="15">
        <f>29000*0.05*500</f>
        <v>725000</v>
      </c>
    </row>
    <row r="14" spans="1:21" s="15" customFormat="1" ht="38.25" customHeight="1" x14ac:dyDescent="0.25">
      <c r="A14" s="184">
        <v>67239.009999999995</v>
      </c>
      <c r="B14" s="12" t="s">
        <v>43</v>
      </c>
      <c r="C14" s="12" t="s">
        <v>32</v>
      </c>
      <c r="D14" s="19" t="s">
        <v>369</v>
      </c>
      <c r="E14" s="173">
        <v>1.3</v>
      </c>
      <c r="F14" s="173">
        <v>58</v>
      </c>
      <c r="G14" s="16">
        <f>H14*100/F14</f>
        <v>86.206896551724142</v>
      </c>
      <c r="H14" s="174">
        <v>50</v>
      </c>
      <c r="I14" s="6">
        <f>1/(H14/(10*F14))</f>
        <v>11.6</v>
      </c>
      <c r="J14" s="174">
        <v>30</v>
      </c>
      <c r="K14" s="6">
        <f>I14-(I14/100*J14)</f>
        <v>8.120000000000001</v>
      </c>
      <c r="L14" s="7">
        <f>715*1.2</f>
        <v>858</v>
      </c>
      <c r="M14" s="8">
        <f>L14*E14</f>
        <v>1115.4000000000001</v>
      </c>
      <c r="N14" s="9">
        <f>A14/K14</f>
        <v>8280.6662561576341</v>
      </c>
      <c r="O14" s="9">
        <f>50/10/58*1.3</f>
        <v>0.1120689655172414</v>
      </c>
      <c r="P14" s="112">
        <f>H14/10/F14*E14*A14</f>
        <v>7535.4062931034487</v>
      </c>
      <c r="Q14" s="112">
        <f>N14*E14</f>
        <v>10764.866133004925</v>
      </c>
      <c r="R14" s="22">
        <f t="shared" si="0"/>
        <v>9236255.1421182267</v>
      </c>
    </row>
    <row r="15" spans="1:21" s="15" customFormat="1" ht="15.75" hidden="1" x14ac:dyDescent="0.25">
      <c r="A15" s="420" t="s">
        <v>168</v>
      </c>
      <c r="B15" s="363"/>
      <c r="C15" s="363"/>
      <c r="D15" s="363"/>
      <c r="E15" s="174">
        <v>0.9</v>
      </c>
      <c r="F15" s="363">
        <v>5</v>
      </c>
      <c r="G15" s="363"/>
      <c r="H15" s="363"/>
      <c r="I15" s="363"/>
      <c r="J15" s="363"/>
      <c r="K15" s="363"/>
      <c r="L15" s="4">
        <v>500</v>
      </c>
      <c r="M15" s="12"/>
      <c r="N15" s="13">
        <f>N12*(F15/100)</f>
        <v>526.33275929549905</v>
      </c>
      <c r="O15" s="13"/>
      <c r="P15" s="9">
        <f>P12/100*F15</f>
        <v>515.806104109589</v>
      </c>
      <c r="Q15" s="9">
        <f>Q12/100*F15</f>
        <v>736.86586301369857</v>
      </c>
      <c r="R15" s="22">
        <f>Q15*L15</f>
        <v>368432.9315068493</v>
      </c>
    </row>
    <row r="16" spans="1:21" s="15" customFormat="1" ht="15.75" hidden="1" x14ac:dyDescent="0.25">
      <c r="A16" s="420" t="s">
        <v>40</v>
      </c>
      <c r="B16" s="363"/>
      <c r="C16" s="363"/>
      <c r="D16" s="363"/>
      <c r="E16" s="174">
        <v>0.9</v>
      </c>
      <c r="F16" s="363">
        <v>5</v>
      </c>
      <c r="G16" s="363"/>
      <c r="H16" s="363"/>
      <c r="I16" s="363"/>
      <c r="J16" s="363"/>
      <c r="K16" s="363"/>
      <c r="L16" s="4">
        <v>500</v>
      </c>
      <c r="M16" s="12"/>
      <c r="N16" s="13">
        <f>N13*(F16/100)</f>
        <v>1481.4148681055156</v>
      </c>
      <c r="O16" s="13"/>
      <c r="P16" s="9">
        <f>P13/100*F16</f>
        <v>888.84892086330922</v>
      </c>
      <c r="Q16" s="9">
        <f>Q13/100*F16</f>
        <v>1482.6000000000001</v>
      </c>
      <c r="R16" s="22">
        <f>Q16*L16</f>
        <v>741300.00000000012</v>
      </c>
    </row>
    <row r="17" spans="1:18" s="15" customFormat="1" ht="15.75" hidden="1" customHeight="1" x14ac:dyDescent="0.25">
      <c r="A17" s="420" t="s">
        <v>169</v>
      </c>
      <c r="B17" s="363"/>
      <c r="C17" s="363"/>
      <c r="D17" s="363"/>
      <c r="E17" s="174">
        <v>0.9</v>
      </c>
      <c r="F17" s="363">
        <v>5</v>
      </c>
      <c r="G17" s="363"/>
      <c r="H17" s="363"/>
      <c r="I17" s="363"/>
      <c r="J17" s="363"/>
      <c r="K17" s="363"/>
      <c r="L17" s="4">
        <v>500</v>
      </c>
      <c r="M17" s="12"/>
      <c r="N17" s="13">
        <f>N14*(F17/100)</f>
        <v>414.03331280788171</v>
      </c>
      <c r="O17" s="13"/>
      <c r="P17" s="9">
        <f>P14/100*F17</f>
        <v>376.77031465517246</v>
      </c>
      <c r="Q17" s="9">
        <f>Q14/100*F17</f>
        <v>538.24330665024627</v>
      </c>
      <c r="R17" s="22">
        <f>Q17*L17</f>
        <v>269121.65332512313</v>
      </c>
    </row>
    <row r="18" spans="1:18" s="15" customFormat="1" ht="38.25" customHeight="1" thickBot="1" x14ac:dyDescent="0.3">
      <c r="A18" s="412" t="s">
        <v>35</v>
      </c>
      <c r="B18" s="413"/>
      <c r="C18" s="413"/>
      <c r="D18" s="413"/>
      <c r="E18" s="413"/>
      <c r="F18" s="413"/>
      <c r="G18" s="414"/>
      <c r="H18" s="170">
        <f>SUM(H12:H14)</f>
        <v>4330</v>
      </c>
      <c r="I18" s="323" t="s">
        <v>64</v>
      </c>
      <c r="J18" s="323"/>
      <c r="K18" s="323"/>
      <c r="L18" s="32"/>
      <c r="M18" s="32"/>
      <c r="N18" s="32"/>
      <c r="O18" s="32"/>
      <c r="P18" s="33">
        <f>SUM(P12:P17)</f>
        <v>37409.932132189482</v>
      </c>
      <c r="Q18" s="33">
        <f>SUM(Q12:Q17)</f>
        <v>57911.892562942849</v>
      </c>
      <c r="R18" s="25">
        <f>SUM(R12:R14)</f>
        <v>52385063.721616313</v>
      </c>
    </row>
    <row r="21" spans="1:18" ht="15.75" thickBot="1" x14ac:dyDescent="0.3"/>
    <row r="22" spans="1:18" x14ac:dyDescent="0.25">
      <c r="A22" s="427" t="s">
        <v>58</v>
      </c>
      <c r="B22" s="394"/>
      <c r="C22" s="394"/>
      <c r="D22" s="394"/>
      <c r="E22" s="394"/>
      <c r="F22" s="394"/>
      <c r="G22" s="394"/>
      <c r="H22" s="394"/>
      <c r="I22" s="394"/>
      <c r="J22" s="394"/>
      <c r="K22" s="394"/>
      <c r="L22" s="394"/>
      <c r="M22" s="394"/>
      <c r="N22" s="394"/>
      <c r="O22" s="394"/>
      <c r="P22" s="394"/>
      <c r="Q22" s="394"/>
      <c r="R22" s="395"/>
    </row>
    <row r="23" spans="1:18" ht="15.75" thickBot="1" x14ac:dyDescent="0.3">
      <c r="A23" s="294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6"/>
    </row>
    <row r="24" spans="1:18" ht="15.75" x14ac:dyDescent="0.25">
      <c r="A24" s="421" t="s">
        <v>0</v>
      </c>
      <c r="B24" s="328" t="s">
        <v>1</v>
      </c>
      <c r="C24" s="328" t="s">
        <v>2</v>
      </c>
      <c r="D24" s="328" t="s">
        <v>3</v>
      </c>
      <c r="E24" s="328" t="s">
        <v>4</v>
      </c>
      <c r="F24" s="328" t="s">
        <v>5</v>
      </c>
      <c r="G24" s="328" t="s">
        <v>6</v>
      </c>
      <c r="H24" s="328"/>
      <c r="I24" s="328" t="s">
        <v>7</v>
      </c>
      <c r="J24" s="328"/>
      <c r="K24" s="328"/>
      <c r="L24" s="328" t="s">
        <v>8</v>
      </c>
      <c r="M24" s="334" t="s">
        <v>9</v>
      </c>
      <c r="N24" s="334" t="s">
        <v>10</v>
      </c>
      <c r="O24" s="172"/>
      <c r="P24" s="334" t="s">
        <v>11</v>
      </c>
      <c r="Q24" s="176"/>
      <c r="R24" s="428" t="s">
        <v>12</v>
      </c>
    </row>
    <row r="25" spans="1:18" ht="15.75" x14ac:dyDescent="0.25">
      <c r="A25" s="318"/>
      <c r="B25" s="322"/>
      <c r="C25" s="322"/>
      <c r="D25" s="322"/>
      <c r="E25" s="322"/>
      <c r="F25" s="322"/>
      <c r="G25" s="322" t="s">
        <v>13</v>
      </c>
      <c r="H25" s="322" t="s">
        <v>14</v>
      </c>
      <c r="I25" s="322" t="s">
        <v>15</v>
      </c>
      <c r="J25" s="322" t="s">
        <v>16</v>
      </c>
      <c r="K25" s="322" t="s">
        <v>17</v>
      </c>
      <c r="L25" s="322"/>
      <c r="M25" s="278"/>
      <c r="N25" s="278"/>
      <c r="O25" s="169"/>
      <c r="P25" s="278"/>
      <c r="Q25" s="177"/>
      <c r="R25" s="367"/>
    </row>
    <row r="26" spans="1:18" ht="15.75" x14ac:dyDescent="0.25">
      <c r="A26" s="318"/>
      <c r="B26" s="322"/>
      <c r="C26" s="322"/>
      <c r="D26" s="322"/>
      <c r="E26" s="322"/>
      <c r="F26" s="322"/>
      <c r="G26" s="322"/>
      <c r="H26" s="322"/>
      <c r="I26" s="322"/>
      <c r="J26" s="322"/>
      <c r="K26" s="322"/>
      <c r="L26" s="322"/>
      <c r="M26" s="278"/>
      <c r="N26" s="278"/>
      <c r="O26" s="169"/>
      <c r="P26" s="278"/>
      <c r="Q26" s="177"/>
      <c r="R26" s="367"/>
    </row>
    <row r="27" spans="1:18" ht="15.75" x14ac:dyDescent="0.25">
      <c r="A27" s="20" t="s">
        <v>18</v>
      </c>
      <c r="B27" s="2" t="s">
        <v>19</v>
      </c>
      <c r="C27" s="2"/>
      <c r="D27" s="2" t="s">
        <v>20</v>
      </c>
      <c r="E27" s="2" t="s">
        <v>21</v>
      </c>
      <c r="F27" s="2" t="s">
        <v>22</v>
      </c>
      <c r="G27" s="2" t="s">
        <v>23</v>
      </c>
      <c r="H27" s="2" t="s">
        <v>23</v>
      </c>
      <c r="I27" s="2" t="s">
        <v>24</v>
      </c>
      <c r="J27" s="2" t="s">
        <v>22</v>
      </c>
      <c r="K27" s="2" t="s">
        <v>24</v>
      </c>
      <c r="L27" s="2" t="s">
        <v>25</v>
      </c>
      <c r="M27" s="3" t="s">
        <v>25</v>
      </c>
      <c r="N27" s="3" t="s">
        <v>26</v>
      </c>
      <c r="O27" s="173"/>
      <c r="P27" s="3" t="s">
        <v>27</v>
      </c>
      <c r="Q27" s="178"/>
      <c r="R27" s="21" t="s">
        <v>28</v>
      </c>
    </row>
    <row r="28" spans="1:18" ht="15.75" x14ac:dyDescent="0.25">
      <c r="A28" s="20">
        <v>1</v>
      </c>
      <c r="B28" s="4" t="s">
        <v>37</v>
      </c>
      <c r="C28" s="4" t="s">
        <v>29</v>
      </c>
      <c r="D28" s="2" t="s">
        <v>30</v>
      </c>
      <c r="E28" s="2">
        <v>1.4</v>
      </c>
      <c r="F28" s="2">
        <v>83</v>
      </c>
      <c r="G28" s="5">
        <f>H28*100/F28</f>
        <v>96.385542168674704</v>
      </c>
      <c r="H28" s="2">
        <v>80</v>
      </c>
      <c r="I28" s="6">
        <f>1/(H28/(10*F28))</f>
        <v>10.375</v>
      </c>
      <c r="J28" s="2">
        <v>0</v>
      </c>
      <c r="K28" s="6">
        <f>I28-(I28/100*J28)</f>
        <v>10.375</v>
      </c>
      <c r="L28" s="7">
        <v>732</v>
      </c>
      <c r="M28" s="8">
        <f>L28*E28</f>
        <v>1024.8</v>
      </c>
      <c r="N28" s="9">
        <f>A28/K28</f>
        <v>9.6385542168674704E-2</v>
      </c>
      <c r="O28" s="9"/>
      <c r="P28" s="8">
        <f>E28*N28</f>
        <v>0.13493975903614458</v>
      </c>
      <c r="Q28" s="179"/>
      <c r="R28" s="22">
        <f>P28*L28</f>
        <v>98.775903614457832</v>
      </c>
    </row>
    <row r="29" spans="1:18" ht="15.75" x14ac:dyDescent="0.25">
      <c r="A29" s="20">
        <v>1</v>
      </c>
      <c r="B29" s="4" t="s">
        <v>38</v>
      </c>
      <c r="C29" s="4" t="s">
        <v>32</v>
      </c>
      <c r="D29" s="11">
        <v>7035</v>
      </c>
      <c r="E29" s="2">
        <v>1.2</v>
      </c>
      <c r="F29" s="2">
        <v>72</v>
      </c>
      <c r="G29" s="5">
        <f>H29*100/F29</f>
        <v>83.333333333333329</v>
      </c>
      <c r="H29" s="2">
        <v>60</v>
      </c>
      <c r="I29" s="6">
        <f>1/(H29/(10*F29))</f>
        <v>12</v>
      </c>
      <c r="J29" s="2">
        <v>0</v>
      </c>
      <c r="K29" s="6">
        <f>I29-(I29/100*J29)</f>
        <v>12</v>
      </c>
      <c r="L29" s="7">
        <v>895</v>
      </c>
      <c r="M29" s="8">
        <f>L29*E29</f>
        <v>1074</v>
      </c>
      <c r="N29" s="9">
        <f>A29/K29</f>
        <v>8.3333333333333329E-2</v>
      </c>
      <c r="O29" s="9"/>
      <c r="P29" s="9">
        <f>E29*N29</f>
        <v>9.9999999999999992E-2</v>
      </c>
      <c r="Q29" s="180"/>
      <c r="R29" s="22">
        <f>P29*L29</f>
        <v>89.499999999999986</v>
      </c>
    </row>
    <row r="30" spans="1:18" ht="15.75" x14ac:dyDescent="0.25">
      <c r="A30" s="420" t="s">
        <v>39</v>
      </c>
      <c r="B30" s="363"/>
      <c r="C30" s="363"/>
      <c r="D30" s="363"/>
      <c r="E30" s="2">
        <v>0.9</v>
      </c>
      <c r="F30" s="283">
        <v>10</v>
      </c>
      <c r="G30" s="284"/>
      <c r="H30" s="284"/>
      <c r="I30" s="284"/>
      <c r="J30" s="284"/>
      <c r="K30" s="285"/>
      <c r="L30" s="4">
        <v>330</v>
      </c>
      <c r="M30" s="12"/>
      <c r="N30" s="13">
        <f>N28*(F30/100)</f>
        <v>9.6385542168674707E-3</v>
      </c>
      <c r="O30" s="13"/>
      <c r="P30" s="9">
        <f>E30*N30</f>
        <v>8.6746987951807231E-3</v>
      </c>
      <c r="Q30" s="180"/>
      <c r="R30" s="22">
        <f>N30*L30</f>
        <v>3.1807228915662655</v>
      </c>
    </row>
    <row r="31" spans="1:18" ht="15.75" x14ac:dyDescent="0.25">
      <c r="A31" s="420" t="s">
        <v>41</v>
      </c>
      <c r="B31" s="363"/>
      <c r="C31" s="363"/>
      <c r="D31" s="363"/>
      <c r="E31" s="2">
        <v>0.9</v>
      </c>
      <c r="F31" s="283">
        <v>10</v>
      </c>
      <c r="G31" s="284"/>
      <c r="H31" s="284"/>
      <c r="I31" s="284"/>
      <c r="J31" s="284"/>
      <c r="K31" s="285"/>
      <c r="L31" s="4">
        <v>330</v>
      </c>
      <c r="M31" s="12"/>
      <c r="N31" s="13">
        <f>N29*(F31/100)</f>
        <v>8.3333333333333332E-3</v>
      </c>
      <c r="O31" s="13"/>
      <c r="P31" s="9">
        <f>E31*N31</f>
        <v>7.4999999999999997E-3</v>
      </c>
      <c r="Q31" s="180"/>
      <c r="R31" s="22">
        <f>N31*L31</f>
        <v>2.75</v>
      </c>
    </row>
    <row r="32" spans="1:18" ht="16.5" thickBot="1" x14ac:dyDescent="0.3">
      <c r="A32" s="23"/>
      <c r="B32" s="323" t="s">
        <v>35</v>
      </c>
      <c r="C32" s="323"/>
      <c r="D32" s="323"/>
      <c r="E32" s="323"/>
      <c r="F32" s="323"/>
      <c r="G32" s="323"/>
      <c r="H32" s="24">
        <f>SUM(H28:H29)</f>
        <v>140</v>
      </c>
      <c r="I32" s="323" t="s">
        <v>36</v>
      </c>
      <c r="J32" s="323"/>
      <c r="K32" s="323"/>
      <c r="L32" s="323"/>
      <c r="M32" s="323"/>
      <c r="N32" s="323"/>
      <c r="O32" s="323"/>
      <c r="P32" s="323"/>
      <c r="Q32" s="181"/>
      <c r="R32" s="25">
        <f>SUM(R28:R31)</f>
        <v>194.20662650602409</v>
      </c>
    </row>
    <row r="36" spans="1:18" ht="15.75" thickBot="1" x14ac:dyDescent="0.3"/>
    <row r="37" spans="1:18" x14ac:dyDescent="0.25">
      <c r="A37" s="415" t="s">
        <v>356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</row>
    <row r="38" spans="1:18" ht="15.75" thickBot="1" x14ac:dyDescent="0.3">
      <c r="A38" s="417"/>
      <c r="B38" s="418"/>
      <c r="C38" s="418"/>
      <c r="D38" s="418"/>
      <c r="E38" s="418"/>
      <c r="F38" s="418"/>
      <c r="G38" s="418"/>
      <c r="H38" s="418"/>
      <c r="I38" s="418"/>
      <c r="J38" s="418"/>
      <c r="K38" s="418"/>
      <c r="L38" s="418"/>
      <c r="M38" s="418"/>
      <c r="N38" s="418"/>
      <c r="O38" s="418"/>
      <c r="P38" s="418"/>
      <c r="Q38" s="418"/>
      <c r="R38" s="418"/>
    </row>
    <row r="39" spans="1:18" ht="15.75" x14ac:dyDescent="0.25">
      <c r="A39" s="317" t="s">
        <v>0</v>
      </c>
      <c r="B39" s="324" t="s">
        <v>1</v>
      </c>
      <c r="C39" s="324" t="s">
        <v>2</v>
      </c>
      <c r="D39" s="324" t="s">
        <v>3</v>
      </c>
      <c r="E39" s="324" t="s">
        <v>4</v>
      </c>
      <c r="F39" s="324" t="s">
        <v>5</v>
      </c>
      <c r="G39" s="324" t="s">
        <v>6</v>
      </c>
      <c r="H39" s="324"/>
      <c r="I39" s="324" t="s">
        <v>7</v>
      </c>
      <c r="J39" s="324"/>
      <c r="K39" s="324"/>
      <c r="L39" s="324" t="s">
        <v>8</v>
      </c>
      <c r="M39" s="286" t="s">
        <v>9</v>
      </c>
      <c r="N39" s="286" t="s">
        <v>10</v>
      </c>
      <c r="O39" s="171"/>
      <c r="P39" s="286" t="s">
        <v>11</v>
      </c>
      <c r="Q39" s="171"/>
      <c r="R39" s="419" t="s">
        <v>12</v>
      </c>
    </row>
    <row r="40" spans="1:18" ht="15.75" x14ac:dyDescent="0.25">
      <c r="A40" s="318"/>
      <c r="B40" s="322"/>
      <c r="C40" s="322"/>
      <c r="D40" s="322"/>
      <c r="E40" s="322"/>
      <c r="F40" s="322"/>
      <c r="G40" s="322" t="s">
        <v>13</v>
      </c>
      <c r="H40" s="322" t="s">
        <v>14</v>
      </c>
      <c r="I40" s="322" t="s">
        <v>15</v>
      </c>
      <c r="J40" s="322" t="s">
        <v>16</v>
      </c>
      <c r="K40" s="322" t="s">
        <v>17</v>
      </c>
      <c r="L40" s="322"/>
      <c r="M40" s="278"/>
      <c r="N40" s="278"/>
      <c r="O40" s="169"/>
      <c r="P40" s="278"/>
      <c r="Q40" s="169"/>
      <c r="R40" s="362"/>
    </row>
    <row r="41" spans="1:18" ht="15.75" x14ac:dyDescent="0.25">
      <c r="A41" s="318"/>
      <c r="B41" s="322"/>
      <c r="C41" s="322"/>
      <c r="D41" s="322"/>
      <c r="E41" s="322"/>
      <c r="F41" s="322"/>
      <c r="G41" s="322"/>
      <c r="H41" s="322"/>
      <c r="I41" s="322"/>
      <c r="J41" s="322"/>
      <c r="K41" s="322"/>
      <c r="L41" s="322"/>
      <c r="M41" s="278"/>
      <c r="N41" s="278"/>
      <c r="O41" s="169"/>
      <c r="P41" s="278"/>
      <c r="Q41" s="169"/>
      <c r="R41" s="362"/>
    </row>
    <row r="42" spans="1:18" ht="15.75" x14ac:dyDescent="0.25">
      <c r="A42" s="159" t="s">
        <v>18</v>
      </c>
      <c r="B42" s="157" t="s">
        <v>19</v>
      </c>
      <c r="C42" s="157"/>
      <c r="D42" s="157" t="s">
        <v>20</v>
      </c>
      <c r="E42" s="157" t="s">
        <v>21</v>
      </c>
      <c r="F42" s="157" t="s">
        <v>22</v>
      </c>
      <c r="G42" s="157" t="s">
        <v>23</v>
      </c>
      <c r="H42" s="157" t="s">
        <v>23</v>
      </c>
      <c r="I42" s="157" t="s">
        <v>24</v>
      </c>
      <c r="J42" s="157" t="s">
        <v>22</v>
      </c>
      <c r="K42" s="157" t="s">
        <v>24</v>
      </c>
      <c r="L42" s="157" t="s">
        <v>25</v>
      </c>
      <c r="M42" s="156" t="s">
        <v>25</v>
      </c>
      <c r="N42" s="156" t="s">
        <v>26</v>
      </c>
      <c r="O42" s="173"/>
      <c r="P42" s="156" t="s">
        <v>27</v>
      </c>
      <c r="Q42" s="173"/>
      <c r="R42" s="157" t="s">
        <v>28</v>
      </c>
    </row>
    <row r="43" spans="1:18" ht="15.75" x14ac:dyDescent="0.25">
      <c r="A43" s="159">
        <v>1</v>
      </c>
      <c r="B43" s="12" t="s">
        <v>42</v>
      </c>
      <c r="C43" s="12" t="s">
        <v>29</v>
      </c>
      <c r="D43" s="156" t="s">
        <v>30</v>
      </c>
      <c r="E43" s="156">
        <v>1.4</v>
      </c>
      <c r="F43" s="156">
        <v>73</v>
      </c>
      <c r="G43" s="16">
        <f>H43*100/F43</f>
        <v>109.58904109589041</v>
      </c>
      <c r="H43" s="156">
        <v>80</v>
      </c>
      <c r="I43" s="6">
        <f>1/(H43/(10*F43))</f>
        <v>9.125</v>
      </c>
      <c r="J43" s="157">
        <v>0</v>
      </c>
      <c r="K43" s="6">
        <f>I43-(I43/100*J43)</f>
        <v>9.125</v>
      </c>
      <c r="L43" s="7">
        <v>500</v>
      </c>
      <c r="M43" s="8">
        <f>L43*E43</f>
        <v>700</v>
      </c>
      <c r="N43" s="9">
        <f>A43/K43</f>
        <v>0.1095890410958904</v>
      </c>
      <c r="O43" s="9"/>
      <c r="P43" s="112">
        <f>H43/10/F43*E43*A43</f>
        <v>0.15342465753424656</v>
      </c>
      <c r="Q43" s="112"/>
      <c r="R43" s="10">
        <f>P43*L43</f>
        <v>76.712328767123282</v>
      </c>
    </row>
    <row r="44" spans="1:18" ht="31.5" x14ac:dyDescent="0.25">
      <c r="A44" s="159">
        <v>1</v>
      </c>
      <c r="B44" s="4" t="s">
        <v>265</v>
      </c>
      <c r="C44" s="4" t="s">
        <v>29</v>
      </c>
      <c r="D44" s="157"/>
      <c r="E44" s="157">
        <v>1</v>
      </c>
      <c r="F44" s="157">
        <v>83.4</v>
      </c>
      <c r="G44" s="5">
        <f>H44*100/F44</f>
        <v>5035.9712230215828</v>
      </c>
      <c r="H44" s="157">
        <v>4200</v>
      </c>
      <c r="I44" s="6">
        <f>1/(H44/(10*F44))</f>
        <v>0.19857142857142859</v>
      </c>
      <c r="J44" s="157">
        <v>0</v>
      </c>
      <c r="K44" s="6">
        <f>I44-(I44/100*J44)</f>
        <v>0.19857142857142859</v>
      </c>
      <c r="L44" s="7">
        <v>725</v>
      </c>
      <c r="M44" s="8">
        <f>L44*E44</f>
        <v>725</v>
      </c>
      <c r="N44" s="9">
        <f>A44/K44</f>
        <v>5.0359712230215825</v>
      </c>
      <c r="O44" s="9"/>
      <c r="P44" s="8">
        <f>H44/10/F44*E44*A44</f>
        <v>5.0359712230215825</v>
      </c>
      <c r="Q44" s="8"/>
      <c r="R44" s="10">
        <f>P44*L44</f>
        <v>3651.0791366906474</v>
      </c>
    </row>
    <row r="45" spans="1:18" ht="15.75" x14ac:dyDescent="0.25">
      <c r="A45" s="159">
        <v>1</v>
      </c>
      <c r="B45" s="12" t="s">
        <v>43</v>
      </c>
      <c r="C45" s="12" t="s">
        <v>32</v>
      </c>
      <c r="D45" s="19" t="s">
        <v>358</v>
      </c>
      <c r="E45" s="156">
        <v>1.3</v>
      </c>
      <c r="F45" s="156">
        <v>58</v>
      </c>
      <c r="G45" s="16">
        <f>H45*100/F45</f>
        <v>86.206896551724142</v>
      </c>
      <c r="H45" s="157">
        <v>50</v>
      </c>
      <c r="I45" s="6">
        <f>1/(H45/(10*F45))</f>
        <v>11.6</v>
      </c>
      <c r="J45" s="157">
        <v>0</v>
      </c>
      <c r="K45" s="6">
        <f>I45-(I45/100*J45)</f>
        <v>11.6</v>
      </c>
      <c r="L45" s="7">
        <v>676</v>
      </c>
      <c r="M45" s="8">
        <f>L45*E45</f>
        <v>878.80000000000007</v>
      </c>
      <c r="N45" s="9">
        <f>A45/K45</f>
        <v>8.6206896551724144E-2</v>
      </c>
      <c r="O45" s="9"/>
      <c r="P45" s="112">
        <f>H45/10/F45*E45*A45</f>
        <v>0.1120689655172414</v>
      </c>
      <c r="Q45" s="112"/>
      <c r="R45" s="10">
        <f>P45*L45</f>
        <v>75.758620689655189</v>
      </c>
    </row>
    <row r="46" spans="1:18" ht="16.5" thickBot="1" x14ac:dyDescent="0.3">
      <c r="A46" s="23"/>
      <c r="B46" s="323" t="s">
        <v>35</v>
      </c>
      <c r="C46" s="323"/>
      <c r="D46" s="323"/>
      <c r="E46" s="323"/>
      <c r="F46" s="323"/>
      <c r="G46" s="323"/>
      <c r="H46" s="155">
        <f>SUM(H43:H45)</f>
        <v>4330</v>
      </c>
      <c r="I46" s="323" t="s">
        <v>64</v>
      </c>
      <c r="J46" s="323"/>
      <c r="K46" s="323"/>
      <c r="L46" s="32"/>
      <c r="M46" s="32"/>
      <c r="N46" s="32"/>
      <c r="O46" s="32"/>
      <c r="P46" s="33">
        <f>P43+P44+P45</f>
        <v>5.3014648460730704</v>
      </c>
      <c r="Q46" s="33"/>
      <c r="R46" s="34">
        <f>SUM(R43:R45)</f>
        <v>3803.5500861474261</v>
      </c>
    </row>
    <row r="48" spans="1:18" ht="15.75" thickBot="1" x14ac:dyDescent="0.3"/>
    <row r="49" spans="1:18" x14ac:dyDescent="0.25">
      <c r="A49" s="415" t="s">
        <v>357</v>
      </c>
      <c r="B49" s="416"/>
      <c r="C49" s="416"/>
      <c r="D49" s="416"/>
      <c r="E49" s="416"/>
      <c r="F49" s="416"/>
      <c r="G49" s="416"/>
      <c r="H49" s="416"/>
      <c r="I49" s="416"/>
      <c r="J49" s="416"/>
      <c r="K49" s="416"/>
      <c r="L49" s="416"/>
      <c r="M49" s="416"/>
      <c r="N49" s="416"/>
      <c r="O49" s="416"/>
      <c r="P49" s="416"/>
      <c r="Q49" s="416"/>
      <c r="R49" s="416"/>
    </row>
    <row r="50" spans="1:18" ht="15.75" thickBot="1" x14ac:dyDescent="0.3">
      <c r="A50" s="417"/>
      <c r="B50" s="418"/>
      <c r="C50" s="418"/>
      <c r="D50" s="418"/>
      <c r="E50" s="418"/>
      <c r="F50" s="418"/>
      <c r="G50" s="418"/>
      <c r="H50" s="418"/>
      <c r="I50" s="418"/>
      <c r="J50" s="418"/>
      <c r="K50" s="418"/>
      <c r="L50" s="418"/>
      <c r="M50" s="418"/>
      <c r="N50" s="418"/>
      <c r="O50" s="418"/>
      <c r="P50" s="418"/>
      <c r="Q50" s="418"/>
      <c r="R50" s="418"/>
    </row>
    <row r="51" spans="1:18" ht="15.75" x14ac:dyDescent="0.25">
      <c r="A51" s="317" t="s">
        <v>0</v>
      </c>
      <c r="B51" s="324" t="s">
        <v>1</v>
      </c>
      <c r="C51" s="324" t="s">
        <v>2</v>
      </c>
      <c r="D51" s="324" t="s">
        <v>3</v>
      </c>
      <c r="E51" s="324" t="s">
        <v>4</v>
      </c>
      <c r="F51" s="324" t="s">
        <v>5</v>
      </c>
      <c r="G51" s="324" t="s">
        <v>6</v>
      </c>
      <c r="H51" s="324"/>
      <c r="I51" s="324" t="s">
        <v>7</v>
      </c>
      <c r="J51" s="324"/>
      <c r="K51" s="324"/>
      <c r="L51" s="324" t="s">
        <v>8</v>
      </c>
      <c r="M51" s="286" t="s">
        <v>9</v>
      </c>
      <c r="N51" s="286" t="s">
        <v>10</v>
      </c>
      <c r="O51" s="171"/>
      <c r="P51" s="286" t="s">
        <v>11</v>
      </c>
      <c r="Q51" s="171"/>
      <c r="R51" s="419" t="s">
        <v>12</v>
      </c>
    </row>
    <row r="52" spans="1:18" ht="15.75" x14ac:dyDescent="0.25">
      <c r="A52" s="318"/>
      <c r="B52" s="322"/>
      <c r="C52" s="322"/>
      <c r="D52" s="322"/>
      <c r="E52" s="322"/>
      <c r="F52" s="322"/>
      <c r="G52" s="322" t="s">
        <v>13</v>
      </c>
      <c r="H52" s="322" t="s">
        <v>14</v>
      </c>
      <c r="I52" s="322" t="s">
        <v>15</v>
      </c>
      <c r="J52" s="322" t="s">
        <v>16</v>
      </c>
      <c r="K52" s="322" t="s">
        <v>17</v>
      </c>
      <c r="L52" s="322"/>
      <c r="M52" s="278"/>
      <c r="N52" s="278"/>
      <c r="O52" s="169"/>
      <c r="P52" s="278"/>
      <c r="Q52" s="169"/>
      <c r="R52" s="362"/>
    </row>
    <row r="53" spans="1:18" ht="15.75" x14ac:dyDescent="0.25">
      <c r="A53" s="318"/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278"/>
      <c r="N53" s="278"/>
      <c r="O53" s="169"/>
      <c r="P53" s="278"/>
      <c r="Q53" s="169"/>
      <c r="R53" s="362"/>
    </row>
    <row r="54" spans="1:18" ht="15.75" x14ac:dyDescent="0.25">
      <c r="A54" s="159" t="s">
        <v>18</v>
      </c>
      <c r="B54" s="157" t="s">
        <v>19</v>
      </c>
      <c r="C54" s="157"/>
      <c r="D54" s="157" t="s">
        <v>20</v>
      </c>
      <c r="E54" s="157" t="s">
        <v>21</v>
      </c>
      <c r="F54" s="157" t="s">
        <v>22</v>
      </c>
      <c r="G54" s="157" t="s">
        <v>23</v>
      </c>
      <c r="H54" s="157" t="s">
        <v>23</v>
      </c>
      <c r="I54" s="157" t="s">
        <v>24</v>
      </c>
      <c r="J54" s="157" t="s">
        <v>22</v>
      </c>
      <c r="K54" s="157" t="s">
        <v>24</v>
      </c>
      <c r="L54" s="157" t="s">
        <v>25</v>
      </c>
      <c r="M54" s="156" t="s">
        <v>25</v>
      </c>
      <c r="N54" s="156" t="s">
        <v>26</v>
      </c>
      <c r="O54" s="173"/>
      <c r="P54" s="156" t="s">
        <v>27</v>
      </c>
      <c r="Q54" s="173"/>
      <c r="R54" s="157" t="s">
        <v>28</v>
      </c>
    </row>
    <row r="55" spans="1:18" ht="15.75" x14ac:dyDescent="0.25">
      <c r="A55" s="159">
        <v>1</v>
      </c>
      <c r="B55" s="12" t="s">
        <v>42</v>
      </c>
      <c r="C55" s="12" t="s">
        <v>29</v>
      </c>
      <c r="D55" s="156" t="s">
        <v>30</v>
      </c>
      <c r="E55" s="156">
        <v>1.4</v>
      </c>
      <c r="F55" s="156">
        <v>73</v>
      </c>
      <c r="G55" s="16">
        <f>H55*100/F55</f>
        <v>109.58904109589041</v>
      </c>
      <c r="H55" s="156">
        <v>80</v>
      </c>
      <c r="I55" s="6">
        <f>1/(H55/(10*F55))</f>
        <v>9.125</v>
      </c>
      <c r="J55" s="157">
        <v>0</v>
      </c>
      <c r="K55" s="6">
        <f>I55-(I55/100*J55)</f>
        <v>9.125</v>
      </c>
      <c r="L55" s="7">
        <v>500</v>
      </c>
      <c r="M55" s="8">
        <f>L55*E55</f>
        <v>700</v>
      </c>
      <c r="N55" s="9">
        <f>A55/K55</f>
        <v>0.1095890410958904</v>
      </c>
      <c r="O55" s="9"/>
      <c r="P55" s="112">
        <f>H55/10/F55*E55*A55</f>
        <v>0.15342465753424656</v>
      </c>
      <c r="Q55" s="112"/>
      <c r="R55" s="10">
        <f>P55*L55</f>
        <v>76.712328767123282</v>
      </c>
    </row>
    <row r="56" spans="1:18" ht="31.5" x14ac:dyDescent="0.25">
      <c r="A56" s="159">
        <v>1</v>
      </c>
      <c r="B56" s="4" t="s">
        <v>265</v>
      </c>
      <c r="C56" s="4" t="s">
        <v>29</v>
      </c>
      <c r="D56" s="157"/>
      <c r="E56" s="157">
        <v>1</v>
      </c>
      <c r="F56" s="157">
        <v>83.4</v>
      </c>
      <c r="G56" s="5">
        <f>H56*100/F56</f>
        <v>8273.3812949640287</v>
      </c>
      <c r="H56" s="157">
        <f>3200+3700</f>
        <v>6900</v>
      </c>
      <c r="I56" s="6">
        <f>1/(H56/(10*F56))</f>
        <v>0.1208695652173913</v>
      </c>
      <c r="J56" s="157">
        <v>0</v>
      </c>
      <c r="K56" s="6">
        <f>I56-(I56/100*J56)</f>
        <v>0.1208695652173913</v>
      </c>
      <c r="L56" s="7">
        <v>725</v>
      </c>
      <c r="M56" s="8">
        <f>L56*E56</f>
        <v>725</v>
      </c>
      <c r="N56" s="9">
        <f>A56/K56</f>
        <v>8.2733812949640289</v>
      </c>
      <c r="O56" s="9"/>
      <c r="P56" s="8">
        <f>H56/10/F56*E56*A56</f>
        <v>8.2733812949640289</v>
      </c>
      <c r="Q56" s="8"/>
      <c r="R56" s="10">
        <f>P56*L56</f>
        <v>5998.2014388489206</v>
      </c>
    </row>
    <row r="57" spans="1:18" ht="15.75" x14ac:dyDescent="0.25">
      <c r="A57" s="159">
        <v>1</v>
      </c>
      <c r="B57" s="12" t="s">
        <v>43</v>
      </c>
      <c r="C57" s="12" t="s">
        <v>32</v>
      </c>
      <c r="D57" s="19" t="s">
        <v>358</v>
      </c>
      <c r="E57" s="156">
        <v>1.3</v>
      </c>
      <c r="F57" s="156">
        <v>58</v>
      </c>
      <c r="G57" s="16">
        <f>H57*100/F57</f>
        <v>86.206896551724142</v>
      </c>
      <c r="H57" s="157">
        <v>50</v>
      </c>
      <c r="I57" s="6">
        <f>1/(H57/(10*F57))</f>
        <v>11.6</v>
      </c>
      <c r="J57" s="157">
        <v>0</v>
      </c>
      <c r="K57" s="6">
        <f>I57-(I57/100*J57)</f>
        <v>11.6</v>
      </c>
      <c r="L57" s="7">
        <v>676</v>
      </c>
      <c r="M57" s="8">
        <f>L57*E57</f>
        <v>878.80000000000007</v>
      </c>
      <c r="N57" s="9">
        <f>A57/K57</f>
        <v>8.6206896551724144E-2</v>
      </c>
      <c r="O57" s="9"/>
      <c r="P57" s="112">
        <f>H57/10/F57*E57*A57</f>
        <v>0.1120689655172414</v>
      </c>
      <c r="Q57" s="112"/>
      <c r="R57" s="10">
        <f>P57*L57</f>
        <v>75.758620689655189</v>
      </c>
    </row>
    <row r="58" spans="1:18" ht="16.5" thickBot="1" x14ac:dyDescent="0.3">
      <c r="A58" s="23"/>
      <c r="B58" s="323" t="s">
        <v>35</v>
      </c>
      <c r="C58" s="323"/>
      <c r="D58" s="323"/>
      <c r="E58" s="323"/>
      <c r="F58" s="323"/>
      <c r="G58" s="323"/>
      <c r="H58" s="155">
        <f>SUM(H55:H57)</f>
        <v>7030</v>
      </c>
      <c r="I58" s="323" t="s">
        <v>64</v>
      </c>
      <c r="J58" s="323"/>
      <c r="K58" s="323"/>
      <c r="L58" s="32"/>
      <c r="M58" s="32"/>
      <c r="N58" s="32"/>
      <c r="O58" s="32"/>
      <c r="P58" s="33">
        <f>P55+P56+P57</f>
        <v>8.5388749180155177</v>
      </c>
      <c r="Q58" s="33"/>
      <c r="R58" s="34">
        <f>SUM(R55:R57)</f>
        <v>6150.6723883056984</v>
      </c>
    </row>
    <row r="59" spans="1:18" ht="15.75" thickBot="1" x14ac:dyDescent="0.3"/>
    <row r="60" spans="1:18" x14ac:dyDescent="0.25">
      <c r="A60" s="415" t="s">
        <v>355</v>
      </c>
      <c r="B60" s="416"/>
      <c r="C60" s="416"/>
      <c r="D60" s="416"/>
      <c r="E60" s="416"/>
      <c r="F60" s="416"/>
      <c r="G60" s="416"/>
      <c r="H60" s="416"/>
      <c r="I60" s="416"/>
      <c r="J60" s="416"/>
      <c r="K60" s="416"/>
      <c r="L60" s="416"/>
      <c r="M60" s="416"/>
      <c r="N60" s="416"/>
      <c r="O60" s="416"/>
      <c r="P60" s="416"/>
      <c r="Q60" s="416"/>
      <c r="R60" s="416"/>
    </row>
    <row r="61" spans="1:18" ht="15.75" thickBot="1" x14ac:dyDescent="0.3">
      <c r="A61" s="417"/>
      <c r="B61" s="418"/>
      <c r="C61" s="418"/>
      <c r="D61" s="418"/>
      <c r="E61" s="418"/>
      <c r="F61" s="418"/>
      <c r="G61" s="418"/>
      <c r="H61" s="418"/>
      <c r="I61" s="418"/>
      <c r="J61" s="418"/>
      <c r="K61" s="418"/>
      <c r="L61" s="418"/>
      <c r="M61" s="418"/>
      <c r="N61" s="418"/>
      <c r="O61" s="418"/>
      <c r="P61" s="418"/>
      <c r="Q61" s="418"/>
      <c r="R61" s="418"/>
    </row>
    <row r="62" spans="1:18" ht="15.75" x14ac:dyDescent="0.25">
      <c r="A62" s="317" t="s">
        <v>0</v>
      </c>
      <c r="B62" s="324" t="s">
        <v>1</v>
      </c>
      <c r="C62" s="324" t="s">
        <v>2</v>
      </c>
      <c r="D62" s="324" t="s">
        <v>3</v>
      </c>
      <c r="E62" s="324" t="s">
        <v>4</v>
      </c>
      <c r="F62" s="324" t="s">
        <v>5</v>
      </c>
      <c r="G62" s="324" t="s">
        <v>6</v>
      </c>
      <c r="H62" s="324"/>
      <c r="I62" s="324" t="s">
        <v>7</v>
      </c>
      <c r="J62" s="324"/>
      <c r="K62" s="324"/>
      <c r="L62" s="324" t="s">
        <v>8</v>
      </c>
      <c r="M62" s="286" t="s">
        <v>9</v>
      </c>
      <c r="N62" s="286" t="s">
        <v>10</v>
      </c>
      <c r="O62" s="171"/>
      <c r="P62" s="286" t="s">
        <v>11</v>
      </c>
      <c r="Q62" s="171"/>
      <c r="R62" s="419" t="s">
        <v>12</v>
      </c>
    </row>
    <row r="63" spans="1:18" ht="15.75" x14ac:dyDescent="0.25">
      <c r="A63" s="318"/>
      <c r="B63" s="322"/>
      <c r="C63" s="322"/>
      <c r="D63" s="322"/>
      <c r="E63" s="322"/>
      <c r="F63" s="322"/>
      <c r="G63" s="322" t="s">
        <v>13</v>
      </c>
      <c r="H63" s="322" t="s">
        <v>14</v>
      </c>
      <c r="I63" s="322" t="s">
        <v>15</v>
      </c>
      <c r="J63" s="322" t="s">
        <v>16</v>
      </c>
      <c r="K63" s="322" t="s">
        <v>17</v>
      </c>
      <c r="L63" s="322"/>
      <c r="M63" s="278"/>
      <c r="N63" s="278"/>
      <c r="O63" s="169"/>
      <c r="P63" s="278"/>
      <c r="Q63" s="169"/>
      <c r="R63" s="362"/>
    </row>
    <row r="64" spans="1:18" ht="15.75" x14ac:dyDescent="0.25">
      <c r="A64" s="318"/>
      <c r="B64" s="322"/>
      <c r="C64" s="322"/>
      <c r="D64" s="322"/>
      <c r="E64" s="322"/>
      <c r="F64" s="322"/>
      <c r="G64" s="322"/>
      <c r="H64" s="322"/>
      <c r="I64" s="322"/>
      <c r="J64" s="322"/>
      <c r="K64" s="322"/>
      <c r="L64" s="322"/>
      <c r="M64" s="278"/>
      <c r="N64" s="278"/>
      <c r="O64" s="169"/>
      <c r="P64" s="278"/>
      <c r="Q64" s="169"/>
      <c r="R64" s="362"/>
    </row>
    <row r="65" spans="1:18" ht="15.75" x14ac:dyDescent="0.25">
      <c r="A65" s="159" t="s">
        <v>18</v>
      </c>
      <c r="B65" s="157" t="s">
        <v>19</v>
      </c>
      <c r="C65" s="157"/>
      <c r="D65" s="157" t="s">
        <v>20</v>
      </c>
      <c r="E65" s="157" t="s">
        <v>21</v>
      </c>
      <c r="F65" s="157" t="s">
        <v>22</v>
      </c>
      <c r="G65" s="157" t="s">
        <v>23</v>
      </c>
      <c r="H65" s="157" t="s">
        <v>23</v>
      </c>
      <c r="I65" s="157" t="s">
        <v>24</v>
      </c>
      <c r="J65" s="157" t="s">
        <v>22</v>
      </c>
      <c r="K65" s="157" t="s">
        <v>24</v>
      </c>
      <c r="L65" s="157" t="s">
        <v>25</v>
      </c>
      <c r="M65" s="156" t="s">
        <v>25</v>
      </c>
      <c r="N65" s="156" t="s">
        <v>26</v>
      </c>
      <c r="O65" s="173"/>
      <c r="P65" s="156" t="s">
        <v>27</v>
      </c>
      <c r="Q65" s="173"/>
      <c r="R65" s="157" t="s">
        <v>28</v>
      </c>
    </row>
    <row r="66" spans="1:18" ht="15.75" x14ac:dyDescent="0.25">
      <c r="A66" s="159">
        <v>1</v>
      </c>
      <c r="B66" s="12" t="s">
        <v>42</v>
      </c>
      <c r="C66" s="12" t="s">
        <v>29</v>
      </c>
      <c r="D66" s="156" t="s">
        <v>30</v>
      </c>
      <c r="E66" s="156">
        <v>1.4</v>
      </c>
      <c r="F66" s="156">
        <v>73</v>
      </c>
      <c r="G66" s="16">
        <f>H66*100/F66</f>
        <v>109.58904109589041</v>
      </c>
      <c r="H66" s="156">
        <v>80</v>
      </c>
      <c r="I66" s="6">
        <f>1/(H66/(10*F66))</f>
        <v>9.125</v>
      </c>
      <c r="J66" s="157">
        <v>0</v>
      </c>
      <c r="K66" s="6">
        <f>I66-(I66/100*J66)</f>
        <v>9.125</v>
      </c>
      <c r="L66" s="7">
        <v>500</v>
      </c>
      <c r="M66" s="8">
        <f>L66*E66</f>
        <v>700</v>
      </c>
      <c r="N66" s="9">
        <f>A66/K66</f>
        <v>0.1095890410958904</v>
      </c>
      <c r="O66" s="9"/>
      <c r="P66" s="112">
        <f>H66/10/F66*E66*A66</f>
        <v>0.15342465753424656</v>
      </c>
      <c r="Q66" s="112"/>
      <c r="R66" s="10">
        <f>P66*L66</f>
        <v>76.712328767123282</v>
      </c>
    </row>
    <row r="67" spans="1:18" ht="31.5" x14ac:dyDescent="0.25">
      <c r="A67" s="159">
        <v>1</v>
      </c>
      <c r="B67" s="4" t="s">
        <v>265</v>
      </c>
      <c r="C67" s="4" t="s">
        <v>29</v>
      </c>
      <c r="D67" s="157"/>
      <c r="E67" s="157">
        <v>1</v>
      </c>
      <c r="F67" s="157">
        <v>83.4</v>
      </c>
      <c r="G67" s="5">
        <f>H67*100/F67</f>
        <v>10191.846522781774</v>
      </c>
      <c r="H67" s="157">
        <f>3000+5500</f>
        <v>8500</v>
      </c>
      <c r="I67" s="6">
        <f>1/(H67/(10*F67))</f>
        <v>9.8117647058823518E-2</v>
      </c>
      <c r="J67" s="157">
        <v>0</v>
      </c>
      <c r="K67" s="6">
        <f>I67-(I67/100*J67)</f>
        <v>9.8117647058823518E-2</v>
      </c>
      <c r="L67" s="7">
        <v>725</v>
      </c>
      <c r="M67" s="8">
        <f>L67*E67</f>
        <v>725</v>
      </c>
      <c r="N67" s="9">
        <f>A67/K67</f>
        <v>10.191846522781775</v>
      </c>
      <c r="O67" s="9"/>
      <c r="P67" s="8">
        <f>H67/10/F67*E67*A67</f>
        <v>10.191846522781773</v>
      </c>
      <c r="Q67" s="8"/>
      <c r="R67" s="10">
        <f>P67*L67</f>
        <v>7389.0887290167857</v>
      </c>
    </row>
    <row r="68" spans="1:18" ht="15.75" x14ac:dyDescent="0.25">
      <c r="A68" s="159">
        <v>1</v>
      </c>
      <c r="B68" s="12" t="s">
        <v>43</v>
      </c>
      <c r="C68" s="12" t="s">
        <v>32</v>
      </c>
      <c r="D68" s="19" t="s">
        <v>358</v>
      </c>
      <c r="E68" s="156">
        <v>1.3</v>
      </c>
      <c r="F68" s="156">
        <v>58</v>
      </c>
      <c r="G68" s="16">
        <f>H68*100/F68</f>
        <v>86.206896551724142</v>
      </c>
      <c r="H68" s="157">
        <v>50</v>
      </c>
      <c r="I68" s="6">
        <f>1/(H68/(10*F68))</f>
        <v>11.6</v>
      </c>
      <c r="J68" s="157">
        <v>0</v>
      </c>
      <c r="K68" s="6">
        <f>I68-(I68/100*J68)</f>
        <v>11.6</v>
      </c>
      <c r="L68" s="7">
        <v>676</v>
      </c>
      <c r="M68" s="8">
        <f>L68*E68</f>
        <v>878.80000000000007</v>
      </c>
      <c r="N68" s="9">
        <f>A68/K68</f>
        <v>8.6206896551724144E-2</v>
      </c>
      <c r="O68" s="9"/>
      <c r="P68" s="112">
        <f>H68/10/F68*E68*A68</f>
        <v>0.1120689655172414</v>
      </c>
      <c r="Q68" s="112"/>
      <c r="R68" s="10">
        <f>P68*L68</f>
        <v>75.758620689655189</v>
      </c>
    </row>
    <row r="69" spans="1:18" ht="16.5" thickBot="1" x14ac:dyDescent="0.3">
      <c r="A69" s="23"/>
      <c r="B69" s="323" t="s">
        <v>35</v>
      </c>
      <c r="C69" s="323"/>
      <c r="D69" s="323"/>
      <c r="E69" s="323"/>
      <c r="F69" s="323"/>
      <c r="G69" s="323"/>
      <c r="H69" s="155">
        <f>SUM(H66:H68)</f>
        <v>8630</v>
      </c>
      <c r="I69" s="323" t="s">
        <v>64</v>
      </c>
      <c r="J69" s="323"/>
      <c r="K69" s="323"/>
      <c r="L69" s="32"/>
      <c r="M69" s="32"/>
      <c r="N69" s="32"/>
      <c r="O69" s="32"/>
      <c r="P69" s="33">
        <f>P66+P67+P68</f>
        <v>10.457340145833262</v>
      </c>
      <c r="Q69" s="33"/>
      <c r="R69" s="34">
        <f>SUM(R66:R68)</f>
        <v>7541.5596784735635</v>
      </c>
    </row>
    <row r="70" spans="1:18" ht="53.25" customHeight="1" x14ac:dyDescent="0.25"/>
    <row r="71" spans="1:18" ht="27.75" customHeight="1" thickBot="1" x14ac:dyDescent="0.3"/>
    <row r="72" spans="1:18" x14ac:dyDescent="0.25">
      <c r="A72" s="415" t="s">
        <v>359</v>
      </c>
      <c r="B72" s="416"/>
      <c r="C72" s="416"/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416"/>
    </row>
    <row r="73" spans="1:18" ht="15.75" thickBot="1" x14ac:dyDescent="0.3">
      <c r="A73" s="417"/>
      <c r="B73" s="418"/>
      <c r="C73" s="418"/>
      <c r="D73" s="418"/>
      <c r="E73" s="418"/>
      <c r="F73" s="418"/>
      <c r="G73" s="418"/>
      <c r="H73" s="418"/>
      <c r="I73" s="418"/>
      <c r="J73" s="418"/>
      <c r="K73" s="418"/>
      <c r="L73" s="418"/>
      <c r="M73" s="418"/>
      <c r="N73" s="418"/>
      <c r="O73" s="418"/>
      <c r="P73" s="418"/>
      <c r="Q73" s="418"/>
      <c r="R73" s="418"/>
    </row>
    <row r="74" spans="1:18" ht="15.75" x14ac:dyDescent="0.25">
      <c r="A74" s="317" t="s">
        <v>0</v>
      </c>
      <c r="B74" s="324" t="s">
        <v>1</v>
      </c>
      <c r="C74" s="324" t="s">
        <v>2</v>
      </c>
      <c r="D74" s="324" t="s">
        <v>3</v>
      </c>
      <c r="E74" s="324" t="s">
        <v>4</v>
      </c>
      <c r="F74" s="324" t="s">
        <v>5</v>
      </c>
      <c r="G74" s="324" t="s">
        <v>6</v>
      </c>
      <c r="H74" s="324"/>
      <c r="I74" s="324" t="s">
        <v>7</v>
      </c>
      <c r="J74" s="324"/>
      <c r="K74" s="324"/>
      <c r="L74" s="324" t="s">
        <v>8</v>
      </c>
      <c r="M74" s="286" t="s">
        <v>9</v>
      </c>
      <c r="N74" s="286" t="s">
        <v>10</v>
      </c>
      <c r="O74" s="171"/>
      <c r="P74" s="286" t="s">
        <v>11</v>
      </c>
      <c r="Q74" s="171"/>
      <c r="R74" s="419" t="s">
        <v>12</v>
      </c>
    </row>
    <row r="75" spans="1:18" ht="15.75" x14ac:dyDescent="0.25">
      <c r="A75" s="318"/>
      <c r="B75" s="322"/>
      <c r="C75" s="322"/>
      <c r="D75" s="322"/>
      <c r="E75" s="322"/>
      <c r="F75" s="322"/>
      <c r="G75" s="322" t="s">
        <v>13</v>
      </c>
      <c r="H75" s="322" t="s">
        <v>14</v>
      </c>
      <c r="I75" s="322" t="s">
        <v>15</v>
      </c>
      <c r="J75" s="322" t="s">
        <v>16</v>
      </c>
      <c r="K75" s="322" t="s">
        <v>17</v>
      </c>
      <c r="L75" s="322"/>
      <c r="M75" s="278"/>
      <c r="N75" s="278"/>
      <c r="O75" s="169"/>
      <c r="P75" s="278"/>
      <c r="Q75" s="169"/>
      <c r="R75" s="362"/>
    </row>
    <row r="76" spans="1:18" ht="15.75" x14ac:dyDescent="0.25">
      <c r="A76" s="318"/>
      <c r="B76" s="322"/>
      <c r="C76" s="322"/>
      <c r="D76" s="322"/>
      <c r="E76" s="322"/>
      <c r="F76" s="322"/>
      <c r="G76" s="322"/>
      <c r="H76" s="322"/>
      <c r="I76" s="322"/>
      <c r="J76" s="322"/>
      <c r="K76" s="322"/>
      <c r="L76" s="322"/>
      <c r="M76" s="278"/>
      <c r="N76" s="278"/>
      <c r="O76" s="169"/>
      <c r="P76" s="278"/>
      <c r="Q76" s="169"/>
      <c r="R76" s="362"/>
    </row>
    <row r="77" spans="1:18" ht="15.75" x14ac:dyDescent="0.25">
      <c r="A77" s="159" t="s">
        <v>18</v>
      </c>
      <c r="B77" s="157" t="s">
        <v>19</v>
      </c>
      <c r="C77" s="157"/>
      <c r="D77" s="157" t="s">
        <v>20</v>
      </c>
      <c r="E77" s="157" t="s">
        <v>21</v>
      </c>
      <c r="F77" s="157" t="s">
        <v>22</v>
      </c>
      <c r="G77" s="157" t="s">
        <v>23</v>
      </c>
      <c r="H77" s="157" t="s">
        <v>23</v>
      </c>
      <c r="I77" s="157" t="s">
        <v>24</v>
      </c>
      <c r="J77" s="157" t="s">
        <v>22</v>
      </c>
      <c r="K77" s="157" t="s">
        <v>24</v>
      </c>
      <c r="L77" s="157" t="s">
        <v>25</v>
      </c>
      <c r="M77" s="156" t="s">
        <v>25</v>
      </c>
      <c r="N77" s="156" t="s">
        <v>26</v>
      </c>
      <c r="O77" s="173"/>
      <c r="P77" s="156" t="s">
        <v>27</v>
      </c>
      <c r="Q77" s="173"/>
      <c r="R77" s="157" t="s">
        <v>28</v>
      </c>
    </row>
    <row r="78" spans="1:18" ht="15.75" x14ac:dyDescent="0.25">
      <c r="A78" s="159">
        <v>1</v>
      </c>
      <c r="B78" s="12" t="s">
        <v>42</v>
      </c>
      <c r="C78" s="12" t="s">
        <v>29</v>
      </c>
      <c r="D78" s="156" t="s">
        <v>30</v>
      </c>
      <c r="E78" s="156">
        <v>1.4</v>
      </c>
      <c r="F78" s="156">
        <v>73</v>
      </c>
      <c r="G78" s="16">
        <f>H78*100/F78</f>
        <v>109.58904109589041</v>
      </c>
      <c r="H78" s="156">
        <v>80</v>
      </c>
      <c r="I78" s="6">
        <f>1/(H78/(10*F78))</f>
        <v>9.125</v>
      </c>
      <c r="J78" s="157">
        <v>0</v>
      </c>
      <c r="K78" s="6">
        <f>I78-(I78/100*J78)</f>
        <v>9.125</v>
      </c>
      <c r="L78" s="7">
        <v>500</v>
      </c>
      <c r="M78" s="8">
        <f>L78*E78</f>
        <v>700</v>
      </c>
      <c r="N78" s="9">
        <f>A78/K78</f>
        <v>0.1095890410958904</v>
      </c>
      <c r="O78" s="9"/>
      <c r="P78" s="112">
        <f>H78/10/F78*E78*A78</f>
        <v>0.15342465753424656</v>
      </c>
      <c r="Q78" s="112"/>
      <c r="R78" s="10">
        <f>P78*L78</f>
        <v>76.712328767123282</v>
      </c>
    </row>
    <row r="79" spans="1:18" ht="31.5" x14ac:dyDescent="0.25">
      <c r="A79" s="159">
        <v>1</v>
      </c>
      <c r="B79" s="4" t="s">
        <v>265</v>
      </c>
      <c r="C79" s="4" t="s">
        <v>29</v>
      </c>
      <c r="D79" s="157"/>
      <c r="E79" s="157">
        <v>1</v>
      </c>
      <c r="F79" s="157">
        <v>83.4</v>
      </c>
      <c r="G79" s="5">
        <f>H79*100/F79</f>
        <v>4436.4508393285369</v>
      </c>
      <c r="H79" s="157">
        <v>3700</v>
      </c>
      <c r="I79" s="6">
        <f>1/(H79/(10*F79))</f>
        <v>0.22540540540540541</v>
      </c>
      <c r="J79" s="157">
        <v>0</v>
      </c>
      <c r="K79" s="6">
        <f>I79-(I79/100*J79)</f>
        <v>0.22540540540540541</v>
      </c>
      <c r="L79" s="7">
        <v>725</v>
      </c>
      <c r="M79" s="8">
        <f>L79*E79</f>
        <v>725</v>
      </c>
      <c r="N79" s="9">
        <f>A79/K79</f>
        <v>4.4364508393285371</v>
      </c>
      <c r="O79" s="9"/>
      <c r="P79" s="8">
        <f>H79/10/F79*E79*A79</f>
        <v>4.4364508393285371</v>
      </c>
      <c r="Q79" s="8"/>
      <c r="R79" s="10">
        <f>P79*L79</f>
        <v>3216.4268585131895</v>
      </c>
    </row>
    <row r="80" spans="1:18" ht="15.75" x14ac:dyDescent="0.25">
      <c r="A80" s="159">
        <v>1</v>
      </c>
      <c r="B80" s="12" t="s">
        <v>43</v>
      </c>
      <c r="C80" s="12" t="s">
        <v>32</v>
      </c>
      <c r="D80" s="19" t="s">
        <v>358</v>
      </c>
      <c r="E80" s="156">
        <v>1.3</v>
      </c>
      <c r="F80" s="156">
        <v>58</v>
      </c>
      <c r="G80" s="16">
        <f>H80*100/F80</f>
        <v>86.206896551724142</v>
      </c>
      <c r="H80" s="157">
        <v>50</v>
      </c>
      <c r="I80" s="6">
        <f>1/(H80/(10*F80))</f>
        <v>11.6</v>
      </c>
      <c r="J80" s="157">
        <v>0</v>
      </c>
      <c r="K80" s="6">
        <f>I80-(I80/100*J80)</f>
        <v>11.6</v>
      </c>
      <c r="L80" s="7">
        <v>676</v>
      </c>
      <c r="M80" s="8">
        <f>L80*E80</f>
        <v>878.80000000000007</v>
      </c>
      <c r="N80" s="9">
        <f>A80/K80</f>
        <v>8.6206896551724144E-2</v>
      </c>
      <c r="O80" s="9"/>
      <c r="P80" s="112">
        <f>H80/10/F80*E80*A80</f>
        <v>0.1120689655172414</v>
      </c>
      <c r="Q80" s="112"/>
      <c r="R80" s="10">
        <f>P80*L80</f>
        <v>75.758620689655189</v>
      </c>
    </row>
    <row r="81" spans="1:18" ht="16.5" thickBot="1" x14ac:dyDescent="0.3">
      <c r="A81" s="23"/>
      <c r="B81" s="323" t="s">
        <v>35</v>
      </c>
      <c r="C81" s="323"/>
      <c r="D81" s="323"/>
      <c r="E81" s="323"/>
      <c r="F81" s="323"/>
      <c r="G81" s="323"/>
      <c r="H81" s="155">
        <f>SUM(H78:H80)</f>
        <v>3830</v>
      </c>
      <c r="I81" s="323" t="s">
        <v>64</v>
      </c>
      <c r="J81" s="323"/>
      <c r="K81" s="323"/>
      <c r="L81" s="32"/>
      <c r="M81" s="32"/>
      <c r="N81" s="32"/>
      <c r="O81" s="32"/>
      <c r="P81" s="33">
        <f>P78+P79+P80</f>
        <v>4.7019444623800251</v>
      </c>
      <c r="Q81" s="33"/>
      <c r="R81" s="34">
        <f>SUM(R78:R80)</f>
        <v>3368.8978079699682</v>
      </c>
    </row>
    <row r="83" spans="1:18" ht="15.75" thickBot="1" x14ac:dyDescent="0.3"/>
    <row r="84" spans="1:18" x14ac:dyDescent="0.25">
      <c r="A84" s="415" t="s">
        <v>360</v>
      </c>
      <c r="B84" s="416"/>
      <c r="C84" s="416"/>
      <c r="D84" s="416"/>
      <c r="E84" s="416"/>
      <c r="F84" s="416"/>
      <c r="G84" s="416"/>
      <c r="H84" s="416"/>
      <c r="I84" s="416"/>
      <c r="J84" s="416"/>
      <c r="K84" s="416"/>
      <c r="L84" s="416"/>
      <c r="M84" s="416"/>
      <c r="N84" s="416"/>
      <c r="O84" s="416"/>
      <c r="P84" s="416"/>
      <c r="Q84" s="416"/>
      <c r="R84" s="416"/>
    </row>
    <row r="85" spans="1:18" ht="15.75" thickBot="1" x14ac:dyDescent="0.3">
      <c r="A85" s="417"/>
      <c r="B85" s="418"/>
      <c r="C85" s="418"/>
      <c r="D85" s="418"/>
      <c r="E85" s="418"/>
      <c r="F85" s="418"/>
      <c r="G85" s="418"/>
      <c r="H85" s="418"/>
      <c r="I85" s="418"/>
      <c r="J85" s="418"/>
      <c r="K85" s="418"/>
      <c r="L85" s="418"/>
      <c r="M85" s="418"/>
      <c r="N85" s="418"/>
      <c r="O85" s="418"/>
      <c r="P85" s="418"/>
      <c r="Q85" s="418"/>
      <c r="R85" s="418"/>
    </row>
    <row r="86" spans="1:18" ht="15.75" x14ac:dyDescent="0.25">
      <c r="A86" s="317" t="s">
        <v>0</v>
      </c>
      <c r="B86" s="324" t="s">
        <v>1</v>
      </c>
      <c r="C86" s="324" t="s">
        <v>2</v>
      </c>
      <c r="D86" s="324" t="s">
        <v>3</v>
      </c>
      <c r="E86" s="324" t="s">
        <v>4</v>
      </c>
      <c r="F86" s="324" t="s">
        <v>5</v>
      </c>
      <c r="G86" s="324" t="s">
        <v>6</v>
      </c>
      <c r="H86" s="324"/>
      <c r="I86" s="324" t="s">
        <v>7</v>
      </c>
      <c r="J86" s="324"/>
      <c r="K86" s="324"/>
      <c r="L86" s="324" t="s">
        <v>8</v>
      </c>
      <c r="M86" s="286" t="s">
        <v>9</v>
      </c>
      <c r="N86" s="286" t="s">
        <v>10</v>
      </c>
      <c r="O86" s="171"/>
      <c r="P86" s="286" t="s">
        <v>11</v>
      </c>
      <c r="Q86" s="171"/>
      <c r="R86" s="419" t="s">
        <v>12</v>
      </c>
    </row>
    <row r="87" spans="1:18" ht="15.75" x14ac:dyDescent="0.25">
      <c r="A87" s="318"/>
      <c r="B87" s="322"/>
      <c r="C87" s="322"/>
      <c r="D87" s="322"/>
      <c r="E87" s="322"/>
      <c r="F87" s="322"/>
      <c r="G87" s="322" t="s">
        <v>13</v>
      </c>
      <c r="H87" s="322" t="s">
        <v>14</v>
      </c>
      <c r="I87" s="322" t="s">
        <v>15</v>
      </c>
      <c r="J87" s="322" t="s">
        <v>16</v>
      </c>
      <c r="K87" s="322" t="s">
        <v>17</v>
      </c>
      <c r="L87" s="322"/>
      <c r="M87" s="278"/>
      <c r="N87" s="278"/>
      <c r="O87" s="169"/>
      <c r="P87" s="278"/>
      <c r="Q87" s="169"/>
      <c r="R87" s="362"/>
    </row>
    <row r="88" spans="1:18" ht="15.75" x14ac:dyDescent="0.25">
      <c r="A88" s="318"/>
      <c r="B88" s="322"/>
      <c r="C88" s="322"/>
      <c r="D88" s="322"/>
      <c r="E88" s="322"/>
      <c r="F88" s="322"/>
      <c r="G88" s="322"/>
      <c r="H88" s="322"/>
      <c r="I88" s="322"/>
      <c r="J88" s="322"/>
      <c r="K88" s="322"/>
      <c r="L88" s="322"/>
      <c r="M88" s="278"/>
      <c r="N88" s="278"/>
      <c r="O88" s="169"/>
      <c r="P88" s="278"/>
      <c r="Q88" s="169"/>
      <c r="R88" s="362"/>
    </row>
    <row r="89" spans="1:18" ht="15.75" x14ac:dyDescent="0.25">
      <c r="A89" s="159" t="s">
        <v>18</v>
      </c>
      <c r="B89" s="157" t="s">
        <v>19</v>
      </c>
      <c r="C89" s="157"/>
      <c r="D89" s="157" t="s">
        <v>20</v>
      </c>
      <c r="E89" s="157" t="s">
        <v>21</v>
      </c>
      <c r="F89" s="157" t="s">
        <v>22</v>
      </c>
      <c r="G89" s="157" t="s">
        <v>23</v>
      </c>
      <c r="H89" s="157" t="s">
        <v>23</v>
      </c>
      <c r="I89" s="157" t="s">
        <v>24</v>
      </c>
      <c r="J89" s="157" t="s">
        <v>22</v>
      </c>
      <c r="K89" s="157" t="s">
        <v>24</v>
      </c>
      <c r="L89" s="157" t="s">
        <v>25</v>
      </c>
      <c r="M89" s="156" t="s">
        <v>25</v>
      </c>
      <c r="N89" s="156" t="s">
        <v>26</v>
      </c>
      <c r="O89" s="173"/>
      <c r="P89" s="156" t="s">
        <v>27</v>
      </c>
      <c r="Q89" s="173"/>
      <c r="R89" s="157" t="s">
        <v>28</v>
      </c>
    </row>
    <row r="90" spans="1:18" ht="15.75" x14ac:dyDescent="0.25">
      <c r="A90" s="159">
        <v>1</v>
      </c>
      <c r="B90" s="12" t="s">
        <v>42</v>
      </c>
      <c r="C90" s="12" t="s">
        <v>29</v>
      </c>
      <c r="D90" s="156" t="s">
        <v>30</v>
      </c>
      <c r="E90" s="156">
        <v>1.4</v>
      </c>
      <c r="F90" s="156">
        <v>73</v>
      </c>
      <c r="G90" s="16">
        <f>H90*100/F90</f>
        <v>109.58904109589041</v>
      </c>
      <c r="H90" s="156">
        <v>80</v>
      </c>
      <c r="I90" s="6">
        <f>1/(H90/(10*F90))</f>
        <v>9.125</v>
      </c>
      <c r="J90" s="157">
        <v>0</v>
      </c>
      <c r="K90" s="6">
        <f>I90-(I90/100*J90)</f>
        <v>9.125</v>
      </c>
      <c r="L90" s="7">
        <v>500</v>
      </c>
      <c r="M90" s="8">
        <f>L90*E90</f>
        <v>700</v>
      </c>
      <c r="N90" s="9">
        <f>A90/K90</f>
        <v>0.1095890410958904</v>
      </c>
      <c r="O90" s="9"/>
      <c r="P90" s="112">
        <f>H90/10/F90*E90*A90</f>
        <v>0.15342465753424656</v>
      </c>
      <c r="Q90" s="112"/>
      <c r="R90" s="10">
        <f>P90*L90</f>
        <v>76.712328767123282</v>
      </c>
    </row>
    <row r="91" spans="1:18" ht="31.5" x14ac:dyDescent="0.25">
      <c r="A91" s="159">
        <v>1</v>
      </c>
      <c r="B91" s="4" t="s">
        <v>265</v>
      </c>
      <c r="C91" s="4" t="s">
        <v>29</v>
      </c>
      <c r="D91" s="157"/>
      <c r="E91" s="157">
        <v>1</v>
      </c>
      <c r="F91" s="157">
        <v>83.4</v>
      </c>
      <c r="G91" s="5">
        <f>H91*100/F91</f>
        <v>7194.2446043165464</v>
      </c>
      <c r="H91" s="157">
        <v>6000</v>
      </c>
      <c r="I91" s="6">
        <f>1/(H91/(10*F91))</f>
        <v>0.13900000000000001</v>
      </c>
      <c r="J91" s="157">
        <v>0</v>
      </c>
      <c r="K91" s="6">
        <f>I91-(I91/100*J91)</f>
        <v>0.13900000000000001</v>
      </c>
      <c r="L91" s="7">
        <v>725</v>
      </c>
      <c r="M91" s="8">
        <f>L91*E91</f>
        <v>725</v>
      </c>
      <c r="N91" s="9">
        <f>A91/K91</f>
        <v>7.1942446043165464</v>
      </c>
      <c r="O91" s="9"/>
      <c r="P91" s="8">
        <f>H91/10/F91*E91*A91</f>
        <v>7.1942446043165464</v>
      </c>
      <c r="Q91" s="8"/>
      <c r="R91" s="10">
        <f>P91*L91</f>
        <v>5215.8273381294957</v>
      </c>
    </row>
    <row r="92" spans="1:18" ht="15.75" x14ac:dyDescent="0.25">
      <c r="A92" s="159">
        <v>1</v>
      </c>
      <c r="B92" s="12" t="s">
        <v>43</v>
      </c>
      <c r="C92" s="12" t="s">
        <v>32</v>
      </c>
      <c r="D92" s="19" t="s">
        <v>358</v>
      </c>
      <c r="E92" s="156">
        <v>1.3</v>
      </c>
      <c r="F92" s="156">
        <v>58</v>
      </c>
      <c r="G92" s="16">
        <f>H92*100/F92</f>
        <v>86.206896551724142</v>
      </c>
      <c r="H92" s="157">
        <v>50</v>
      </c>
      <c r="I92" s="6">
        <f>1/(H92/(10*F92))</f>
        <v>11.6</v>
      </c>
      <c r="J92" s="157">
        <v>0</v>
      </c>
      <c r="K92" s="6">
        <f>I92-(I92/100*J92)</f>
        <v>11.6</v>
      </c>
      <c r="L92" s="7">
        <v>676</v>
      </c>
      <c r="M92" s="8">
        <f>L92*E92</f>
        <v>878.80000000000007</v>
      </c>
      <c r="N92" s="9">
        <f>A92/K92</f>
        <v>8.6206896551724144E-2</v>
      </c>
      <c r="O92" s="9"/>
      <c r="P92" s="112">
        <f>H92/10/F92*E92*A92</f>
        <v>0.1120689655172414</v>
      </c>
      <c r="Q92" s="112"/>
      <c r="R92" s="10">
        <f>P92*L92</f>
        <v>75.758620689655189</v>
      </c>
    </row>
    <row r="93" spans="1:18" ht="16.5" thickBot="1" x14ac:dyDescent="0.3">
      <c r="A93" s="23"/>
      <c r="B93" s="323" t="s">
        <v>35</v>
      </c>
      <c r="C93" s="323"/>
      <c r="D93" s="323"/>
      <c r="E93" s="323"/>
      <c r="F93" s="323"/>
      <c r="G93" s="323"/>
      <c r="H93" s="155">
        <f>SUM(H90:H92)</f>
        <v>6130</v>
      </c>
      <c r="I93" s="323" t="s">
        <v>64</v>
      </c>
      <c r="J93" s="323"/>
      <c r="K93" s="323"/>
      <c r="L93" s="32"/>
      <c r="M93" s="32"/>
      <c r="N93" s="32"/>
      <c r="O93" s="32"/>
      <c r="P93" s="33">
        <f>P90+P91+P92</f>
        <v>7.4597382273680344</v>
      </c>
      <c r="Q93" s="33"/>
      <c r="R93" s="34">
        <f>SUM(R90:R92)</f>
        <v>5368.2982875862735</v>
      </c>
    </row>
    <row r="94" spans="1:18" ht="15.75" thickBot="1" x14ac:dyDescent="0.3"/>
    <row r="95" spans="1:18" x14ac:dyDescent="0.25">
      <c r="A95" s="415" t="s">
        <v>361</v>
      </c>
      <c r="B95" s="416"/>
      <c r="C95" s="416"/>
      <c r="D95" s="416"/>
      <c r="E95" s="416"/>
      <c r="F95" s="416"/>
      <c r="G95" s="416"/>
      <c r="H95" s="416"/>
      <c r="I95" s="416"/>
      <c r="J95" s="416"/>
      <c r="K95" s="416"/>
      <c r="L95" s="416"/>
      <c r="M95" s="416"/>
      <c r="N95" s="416"/>
      <c r="O95" s="416"/>
      <c r="P95" s="416"/>
      <c r="Q95" s="416"/>
      <c r="R95" s="416"/>
    </row>
    <row r="96" spans="1:18" ht="15.75" thickBot="1" x14ac:dyDescent="0.3">
      <c r="A96" s="417"/>
      <c r="B96" s="418"/>
      <c r="C96" s="418"/>
      <c r="D96" s="418"/>
      <c r="E96" s="418"/>
      <c r="F96" s="418"/>
      <c r="G96" s="418"/>
      <c r="H96" s="418"/>
      <c r="I96" s="418"/>
      <c r="J96" s="418"/>
      <c r="K96" s="418"/>
      <c r="L96" s="418"/>
      <c r="M96" s="418"/>
      <c r="N96" s="418"/>
      <c r="O96" s="418"/>
      <c r="P96" s="418"/>
      <c r="Q96" s="418"/>
      <c r="R96" s="418"/>
    </row>
    <row r="97" spans="1:18" ht="15.75" x14ac:dyDescent="0.25">
      <c r="A97" s="317" t="s">
        <v>0</v>
      </c>
      <c r="B97" s="324" t="s">
        <v>1</v>
      </c>
      <c r="C97" s="324" t="s">
        <v>2</v>
      </c>
      <c r="D97" s="324" t="s">
        <v>3</v>
      </c>
      <c r="E97" s="324" t="s">
        <v>4</v>
      </c>
      <c r="F97" s="324" t="s">
        <v>5</v>
      </c>
      <c r="G97" s="324" t="s">
        <v>6</v>
      </c>
      <c r="H97" s="324"/>
      <c r="I97" s="324" t="s">
        <v>7</v>
      </c>
      <c r="J97" s="324"/>
      <c r="K97" s="324"/>
      <c r="L97" s="324" t="s">
        <v>8</v>
      </c>
      <c r="M97" s="286" t="s">
        <v>9</v>
      </c>
      <c r="N97" s="286" t="s">
        <v>10</v>
      </c>
      <c r="O97" s="171"/>
      <c r="P97" s="286" t="s">
        <v>11</v>
      </c>
      <c r="Q97" s="171"/>
      <c r="R97" s="419" t="s">
        <v>12</v>
      </c>
    </row>
    <row r="98" spans="1:18" ht="15.75" x14ac:dyDescent="0.25">
      <c r="A98" s="318"/>
      <c r="B98" s="322"/>
      <c r="C98" s="322"/>
      <c r="D98" s="322"/>
      <c r="E98" s="322"/>
      <c r="F98" s="322"/>
      <c r="G98" s="322" t="s">
        <v>13</v>
      </c>
      <c r="H98" s="322" t="s">
        <v>14</v>
      </c>
      <c r="I98" s="322" t="s">
        <v>15</v>
      </c>
      <c r="J98" s="322" t="s">
        <v>16</v>
      </c>
      <c r="K98" s="322" t="s">
        <v>17</v>
      </c>
      <c r="L98" s="322"/>
      <c r="M98" s="278"/>
      <c r="N98" s="278"/>
      <c r="O98" s="169"/>
      <c r="P98" s="278"/>
      <c r="Q98" s="169"/>
      <c r="R98" s="362"/>
    </row>
    <row r="99" spans="1:18" ht="15.75" x14ac:dyDescent="0.25">
      <c r="A99" s="318"/>
      <c r="B99" s="322"/>
      <c r="C99" s="322"/>
      <c r="D99" s="322"/>
      <c r="E99" s="322"/>
      <c r="F99" s="322"/>
      <c r="G99" s="322"/>
      <c r="H99" s="322"/>
      <c r="I99" s="322"/>
      <c r="J99" s="322"/>
      <c r="K99" s="322"/>
      <c r="L99" s="322"/>
      <c r="M99" s="278"/>
      <c r="N99" s="278"/>
      <c r="O99" s="169"/>
      <c r="P99" s="278"/>
      <c r="Q99" s="169"/>
      <c r="R99" s="362"/>
    </row>
    <row r="100" spans="1:18" ht="15.75" x14ac:dyDescent="0.25">
      <c r="A100" s="159" t="s">
        <v>18</v>
      </c>
      <c r="B100" s="157" t="s">
        <v>19</v>
      </c>
      <c r="C100" s="157"/>
      <c r="D100" s="157" t="s">
        <v>20</v>
      </c>
      <c r="E100" s="157" t="s">
        <v>21</v>
      </c>
      <c r="F100" s="157" t="s">
        <v>22</v>
      </c>
      <c r="G100" s="157" t="s">
        <v>23</v>
      </c>
      <c r="H100" s="157" t="s">
        <v>23</v>
      </c>
      <c r="I100" s="157" t="s">
        <v>24</v>
      </c>
      <c r="J100" s="157" t="s">
        <v>22</v>
      </c>
      <c r="K100" s="157" t="s">
        <v>24</v>
      </c>
      <c r="L100" s="157" t="s">
        <v>25</v>
      </c>
      <c r="M100" s="156" t="s">
        <v>25</v>
      </c>
      <c r="N100" s="156" t="s">
        <v>26</v>
      </c>
      <c r="O100" s="173"/>
      <c r="P100" s="156" t="s">
        <v>27</v>
      </c>
      <c r="Q100" s="173"/>
      <c r="R100" s="157" t="s">
        <v>28</v>
      </c>
    </row>
    <row r="101" spans="1:18" ht="15.75" x14ac:dyDescent="0.25">
      <c r="A101" s="159">
        <v>1</v>
      </c>
      <c r="B101" s="12" t="s">
        <v>42</v>
      </c>
      <c r="C101" s="12" t="s">
        <v>29</v>
      </c>
      <c r="D101" s="156" t="s">
        <v>30</v>
      </c>
      <c r="E101" s="156">
        <v>1.4</v>
      </c>
      <c r="F101" s="156">
        <v>73</v>
      </c>
      <c r="G101" s="16">
        <f>H101*100/F101</f>
        <v>109.58904109589041</v>
      </c>
      <c r="H101" s="156">
        <v>80</v>
      </c>
      <c r="I101" s="6">
        <f>1/(H101/(10*F101))</f>
        <v>9.125</v>
      </c>
      <c r="J101" s="157">
        <v>0</v>
      </c>
      <c r="K101" s="6">
        <f>I101-(I101/100*J101)</f>
        <v>9.125</v>
      </c>
      <c r="L101" s="7">
        <v>500</v>
      </c>
      <c r="M101" s="8">
        <f>L101*E101</f>
        <v>700</v>
      </c>
      <c r="N101" s="9">
        <f>A101/K101</f>
        <v>0.1095890410958904</v>
      </c>
      <c r="O101" s="9"/>
      <c r="P101" s="112">
        <f>H101/10/F101*E101*A101</f>
        <v>0.15342465753424656</v>
      </c>
      <c r="Q101" s="112"/>
      <c r="R101" s="10">
        <f>P101*L101</f>
        <v>76.712328767123282</v>
      </c>
    </row>
    <row r="102" spans="1:18" ht="31.5" x14ac:dyDescent="0.25">
      <c r="A102" s="159">
        <v>1</v>
      </c>
      <c r="B102" s="4" t="s">
        <v>265</v>
      </c>
      <c r="C102" s="4" t="s">
        <v>29</v>
      </c>
      <c r="D102" s="157"/>
      <c r="E102" s="157">
        <v>1</v>
      </c>
      <c r="F102" s="157">
        <v>83.4</v>
      </c>
      <c r="G102" s="5">
        <f>H102*100/F102</f>
        <v>8393.2853717026373</v>
      </c>
      <c r="H102" s="157">
        <v>7000</v>
      </c>
      <c r="I102" s="6">
        <f>1/(H102/(10*F102))</f>
        <v>0.11914285714285715</v>
      </c>
      <c r="J102" s="157">
        <v>0</v>
      </c>
      <c r="K102" s="6">
        <f>I102-(I102/100*J102)</f>
        <v>0.11914285714285715</v>
      </c>
      <c r="L102" s="7">
        <v>725</v>
      </c>
      <c r="M102" s="8">
        <f>L102*E102</f>
        <v>725</v>
      </c>
      <c r="N102" s="9">
        <f>A102/K102</f>
        <v>8.3932853717026372</v>
      </c>
      <c r="O102" s="9"/>
      <c r="P102" s="8">
        <f>H102/10/F102*E102*A102</f>
        <v>8.3932853717026372</v>
      </c>
      <c r="Q102" s="8"/>
      <c r="R102" s="10">
        <f>P102*L102</f>
        <v>6085.1318944844115</v>
      </c>
    </row>
    <row r="103" spans="1:18" ht="15.75" x14ac:dyDescent="0.25">
      <c r="A103" s="159">
        <v>1</v>
      </c>
      <c r="B103" s="12" t="s">
        <v>43</v>
      </c>
      <c r="C103" s="12" t="s">
        <v>32</v>
      </c>
      <c r="D103" s="19" t="s">
        <v>358</v>
      </c>
      <c r="E103" s="156">
        <v>1.3</v>
      </c>
      <c r="F103" s="156">
        <v>58</v>
      </c>
      <c r="G103" s="16">
        <f>H103*100/F103</f>
        <v>86.206896551724142</v>
      </c>
      <c r="H103" s="157">
        <v>50</v>
      </c>
      <c r="I103" s="6">
        <f>1/(H103/(10*F103))</f>
        <v>11.6</v>
      </c>
      <c r="J103" s="157">
        <v>0</v>
      </c>
      <c r="K103" s="6">
        <f>I103-(I103/100*J103)</f>
        <v>11.6</v>
      </c>
      <c r="L103" s="7">
        <v>676</v>
      </c>
      <c r="M103" s="8">
        <f>L103*E103</f>
        <v>878.80000000000007</v>
      </c>
      <c r="N103" s="9">
        <f>A103/K103</f>
        <v>8.6206896551724144E-2</v>
      </c>
      <c r="O103" s="9"/>
      <c r="P103" s="112">
        <f>H103/10/F103*E103*A103</f>
        <v>0.1120689655172414</v>
      </c>
      <c r="Q103" s="112"/>
      <c r="R103" s="10">
        <f>P103*L103</f>
        <v>75.758620689655189</v>
      </c>
    </row>
    <row r="104" spans="1:18" ht="16.5" thickBot="1" x14ac:dyDescent="0.3">
      <c r="A104" s="23"/>
      <c r="B104" s="323" t="s">
        <v>35</v>
      </c>
      <c r="C104" s="323"/>
      <c r="D104" s="323"/>
      <c r="E104" s="323"/>
      <c r="F104" s="323"/>
      <c r="G104" s="323"/>
      <c r="H104" s="155">
        <f>SUM(H101:H103)</f>
        <v>7130</v>
      </c>
      <c r="I104" s="323" t="s">
        <v>64</v>
      </c>
      <c r="J104" s="323"/>
      <c r="K104" s="323"/>
      <c r="L104" s="32"/>
      <c r="M104" s="32"/>
      <c r="N104" s="32"/>
      <c r="O104" s="32"/>
      <c r="P104" s="33">
        <f>P101+P102+P103</f>
        <v>8.658778994754126</v>
      </c>
      <c r="Q104" s="33"/>
      <c r="R104" s="34">
        <f>SUM(R101:R103)</f>
        <v>6237.6028439411893</v>
      </c>
    </row>
  </sheetData>
  <mergeCells count="180">
    <mergeCell ref="A6:R7"/>
    <mergeCell ref="K25:K26"/>
    <mergeCell ref="A31:D31"/>
    <mergeCell ref="F31:K31"/>
    <mergeCell ref="A22:R23"/>
    <mergeCell ref="R24:R26"/>
    <mergeCell ref="G25:G26"/>
    <mergeCell ref="H25:H26"/>
    <mergeCell ref="I25:I26"/>
    <mergeCell ref="J25:J26"/>
    <mergeCell ref="A8:A10"/>
    <mergeCell ref="B8:B10"/>
    <mergeCell ref="C8:C10"/>
    <mergeCell ref="D8:D10"/>
    <mergeCell ref="P8:P10"/>
    <mergeCell ref="R8:R10"/>
    <mergeCell ref="G9:G10"/>
    <mergeCell ref="H9:H10"/>
    <mergeCell ref="I9:I10"/>
    <mergeCell ref="J9:J10"/>
    <mergeCell ref="K9:K10"/>
    <mergeCell ref="E8:E10"/>
    <mergeCell ref="L8:L10"/>
    <mergeCell ref="A15:D15"/>
    <mergeCell ref="F15:K15"/>
    <mergeCell ref="A16:D16"/>
    <mergeCell ref="F16:K16"/>
    <mergeCell ref="A17:D17"/>
    <mergeCell ref="F17:K17"/>
    <mergeCell ref="B32:G32"/>
    <mergeCell ref="I32:P32"/>
    <mergeCell ref="N24:N26"/>
    <mergeCell ref="P24:P26"/>
    <mergeCell ref="A30:D30"/>
    <mergeCell ref="F30:K30"/>
    <mergeCell ref="A24:A26"/>
    <mergeCell ref="B24:B26"/>
    <mergeCell ref="C24:C26"/>
    <mergeCell ref="D24:D26"/>
    <mergeCell ref="E24:E26"/>
    <mergeCell ref="F24:F26"/>
    <mergeCell ref="G24:H24"/>
    <mergeCell ref="I24:K24"/>
    <mergeCell ref="L24:L26"/>
    <mergeCell ref="M24:M26"/>
    <mergeCell ref="I18:K18"/>
    <mergeCell ref="M8:M10"/>
    <mergeCell ref="N8:N10"/>
    <mergeCell ref="G40:G41"/>
    <mergeCell ref="H40:H41"/>
    <mergeCell ref="I40:I41"/>
    <mergeCell ref="J40:J41"/>
    <mergeCell ref="K40:K41"/>
    <mergeCell ref="A37:R38"/>
    <mergeCell ref="A39:A41"/>
    <mergeCell ref="B39:B41"/>
    <mergeCell ref="C39:C41"/>
    <mergeCell ref="D39:D41"/>
    <mergeCell ref="E39:E41"/>
    <mergeCell ref="F39:F41"/>
    <mergeCell ref="G39:H39"/>
    <mergeCell ref="I39:K39"/>
    <mergeCell ref="L39:L41"/>
    <mergeCell ref="M39:M41"/>
    <mergeCell ref="N39:N41"/>
    <mergeCell ref="P39:P41"/>
    <mergeCell ref="R39:R41"/>
    <mergeCell ref="F8:F10"/>
    <mergeCell ref="G8:H8"/>
    <mergeCell ref="I8:K8"/>
    <mergeCell ref="G52:G53"/>
    <mergeCell ref="H52:H53"/>
    <mergeCell ref="I52:I53"/>
    <mergeCell ref="J52:J53"/>
    <mergeCell ref="K52:K53"/>
    <mergeCell ref="B46:G46"/>
    <mergeCell ref="I46:K46"/>
    <mergeCell ref="A49:R50"/>
    <mergeCell ref="A51:A53"/>
    <mergeCell ref="B51:B53"/>
    <mergeCell ref="C51:C53"/>
    <mergeCell ref="D51:D53"/>
    <mergeCell ref="E51:E53"/>
    <mergeCell ref="F51:F53"/>
    <mergeCell ref="G51:H51"/>
    <mergeCell ref="I51:K51"/>
    <mergeCell ref="L51:L53"/>
    <mergeCell ref="M51:M53"/>
    <mergeCell ref="N51:N53"/>
    <mergeCell ref="P51:P53"/>
    <mergeCell ref="R51:R53"/>
    <mergeCell ref="G63:G64"/>
    <mergeCell ref="H63:H64"/>
    <mergeCell ref="I63:I64"/>
    <mergeCell ref="J63:J64"/>
    <mergeCell ref="K63:K64"/>
    <mergeCell ref="B58:G58"/>
    <mergeCell ref="I58:K58"/>
    <mergeCell ref="A60:R61"/>
    <mergeCell ref="A62:A64"/>
    <mergeCell ref="B62:B64"/>
    <mergeCell ref="C62:C64"/>
    <mergeCell ref="D62:D64"/>
    <mergeCell ref="E62:E64"/>
    <mergeCell ref="F62:F64"/>
    <mergeCell ref="G62:H62"/>
    <mergeCell ref="I62:K62"/>
    <mergeCell ref="L62:L64"/>
    <mergeCell ref="M62:M64"/>
    <mergeCell ref="N62:N64"/>
    <mergeCell ref="P62:P64"/>
    <mergeCell ref="R62:R64"/>
    <mergeCell ref="G75:G76"/>
    <mergeCell ref="H75:H76"/>
    <mergeCell ref="I75:I76"/>
    <mergeCell ref="J75:J76"/>
    <mergeCell ref="K75:K76"/>
    <mergeCell ref="B69:G69"/>
    <mergeCell ref="I69:K69"/>
    <mergeCell ref="A72:R73"/>
    <mergeCell ref="A74:A76"/>
    <mergeCell ref="B74:B76"/>
    <mergeCell ref="C74:C76"/>
    <mergeCell ref="D74:D76"/>
    <mergeCell ref="E74:E76"/>
    <mergeCell ref="F74:F76"/>
    <mergeCell ref="G74:H74"/>
    <mergeCell ref="I74:K74"/>
    <mergeCell ref="L74:L76"/>
    <mergeCell ref="M74:M76"/>
    <mergeCell ref="N74:N76"/>
    <mergeCell ref="P74:P76"/>
    <mergeCell ref="R74:R76"/>
    <mergeCell ref="P97:P99"/>
    <mergeCell ref="R97:R99"/>
    <mergeCell ref="G87:G88"/>
    <mergeCell ref="H87:H88"/>
    <mergeCell ref="I87:I88"/>
    <mergeCell ref="J87:J88"/>
    <mergeCell ref="K87:K88"/>
    <mergeCell ref="B81:G81"/>
    <mergeCell ref="I81:K81"/>
    <mergeCell ref="A84:R85"/>
    <mergeCell ref="A86:A88"/>
    <mergeCell ref="B86:B88"/>
    <mergeCell ref="C86:C88"/>
    <mergeCell ref="D86:D88"/>
    <mergeCell ref="E86:E88"/>
    <mergeCell ref="F86:F88"/>
    <mergeCell ref="G86:H86"/>
    <mergeCell ref="I86:K86"/>
    <mergeCell ref="L86:L88"/>
    <mergeCell ref="M86:M88"/>
    <mergeCell ref="N86:N88"/>
    <mergeCell ref="P86:P88"/>
    <mergeCell ref="R86:R88"/>
    <mergeCell ref="Q8:Q10"/>
    <mergeCell ref="O8:O10"/>
    <mergeCell ref="A18:G18"/>
    <mergeCell ref="B104:G104"/>
    <mergeCell ref="I104:K104"/>
    <mergeCell ref="G98:G99"/>
    <mergeCell ref="H98:H99"/>
    <mergeCell ref="I98:I99"/>
    <mergeCell ref="J98:J99"/>
    <mergeCell ref="K98:K99"/>
    <mergeCell ref="B93:G93"/>
    <mergeCell ref="I93:K93"/>
    <mergeCell ref="A95:R96"/>
    <mergeCell ref="A97:A99"/>
    <mergeCell ref="B97:B99"/>
    <mergeCell ref="C97:C99"/>
    <mergeCell ref="D97:D99"/>
    <mergeCell ref="E97:E99"/>
    <mergeCell ref="F97:F99"/>
    <mergeCell ref="G97:H97"/>
    <mergeCell ref="I97:K97"/>
    <mergeCell ref="L97:L99"/>
    <mergeCell ref="M97:M99"/>
    <mergeCell ref="N97:N99"/>
  </mergeCells>
  <pageMargins left="0.7" right="0.7" top="0.75" bottom="0.75" header="0.3" footer="0.3"/>
  <pageSetup paperSize="9" scale="58" firstPageNumber="4294967295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B3E4-31DB-43B3-90B7-C852E3290642}">
  <sheetPr>
    <pageSetUpPr fitToPage="1"/>
  </sheetPr>
  <dimension ref="A1:P15"/>
  <sheetViews>
    <sheetView zoomScale="40" zoomScaleNormal="40" workbookViewId="0">
      <selection activeCell="H22" sqref="H22"/>
    </sheetView>
  </sheetViews>
  <sheetFormatPr defaultRowHeight="15.75" x14ac:dyDescent="0.25"/>
  <cols>
    <col min="1" max="1" width="33.42578125" style="243" customWidth="1"/>
    <col min="2" max="2" width="28.5703125" style="243" customWidth="1"/>
    <col min="3" max="3" width="13" style="243" customWidth="1"/>
    <col min="4" max="5" width="13.28515625" style="243" customWidth="1"/>
    <col min="6" max="6" width="14.42578125" style="243" customWidth="1"/>
    <col min="7" max="7" width="10.7109375" style="243" hidden="1" customWidth="1"/>
    <col min="8" max="8" width="10.140625" style="243" customWidth="1"/>
    <col min="9" max="9" width="10.140625" style="243" hidden="1" customWidth="1"/>
    <col min="10" max="10" width="15.42578125" style="243" customWidth="1"/>
    <col min="11" max="11" width="17.140625" style="243" hidden="1" customWidth="1"/>
    <col min="12" max="12" width="15.42578125" style="243" hidden="1" customWidth="1"/>
    <col min="13" max="13" width="16.85546875" style="243" customWidth="1"/>
    <col min="14" max="14" width="16.140625" style="243" customWidth="1"/>
    <col min="15" max="15" width="16.140625" style="243" hidden="1" customWidth="1"/>
    <col min="16" max="16" width="15" style="243" hidden="1" customWidth="1"/>
    <col min="17" max="16384" width="9.140625" style="243"/>
  </cols>
  <sheetData>
    <row r="1" spans="1:16" ht="16.5" thickBot="1" x14ac:dyDescent="0.3"/>
    <row r="2" spans="1:16" x14ac:dyDescent="0.25">
      <c r="A2" s="433" t="s">
        <v>420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5"/>
    </row>
    <row r="3" spans="1:16" ht="16.5" thickBot="1" x14ac:dyDescent="0.3">
      <c r="A3" s="436"/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8"/>
    </row>
    <row r="4" spans="1:16" x14ac:dyDescent="0.25">
      <c r="A4" s="290" t="s">
        <v>0</v>
      </c>
      <c r="B4" s="286" t="s">
        <v>1</v>
      </c>
      <c r="C4" s="286" t="s">
        <v>2</v>
      </c>
      <c r="D4" s="286" t="s">
        <v>3</v>
      </c>
      <c r="E4" s="286" t="s">
        <v>4</v>
      </c>
      <c r="F4" s="286" t="s">
        <v>5</v>
      </c>
      <c r="G4" s="286" t="s">
        <v>6</v>
      </c>
      <c r="H4" s="286"/>
      <c r="I4" s="286"/>
      <c r="J4" s="286"/>
      <c r="K4" s="286"/>
      <c r="L4" s="286" t="s">
        <v>10</v>
      </c>
      <c r="M4" s="286" t="s">
        <v>368</v>
      </c>
      <c r="N4" s="287" t="s">
        <v>366</v>
      </c>
      <c r="O4" s="431" t="s">
        <v>367</v>
      </c>
      <c r="P4" s="293" t="s">
        <v>12</v>
      </c>
    </row>
    <row r="5" spans="1:16" x14ac:dyDescent="0.25">
      <c r="A5" s="279"/>
      <c r="B5" s="278"/>
      <c r="C5" s="278"/>
      <c r="D5" s="278"/>
      <c r="E5" s="278"/>
      <c r="F5" s="278"/>
      <c r="G5" s="278" t="s">
        <v>13</v>
      </c>
      <c r="H5" s="278" t="s">
        <v>14</v>
      </c>
      <c r="I5" s="278" t="s">
        <v>15</v>
      </c>
      <c r="J5" s="278" t="s">
        <v>16</v>
      </c>
      <c r="K5" s="278" t="s">
        <v>17</v>
      </c>
      <c r="L5" s="278"/>
      <c r="M5" s="278"/>
      <c r="N5" s="288"/>
      <c r="O5" s="432"/>
      <c r="P5" s="277"/>
    </row>
    <row r="6" spans="1:16" x14ac:dyDescent="0.25">
      <c r="A6" s="279"/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88"/>
      <c r="O6" s="432"/>
      <c r="P6" s="277"/>
    </row>
    <row r="7" spans="1:16" x14ac:dyDescent="0.25">
      <c r="A7" s="188" t="s">
        <v>18</v>
      </c>
      <c r="B7" s="230" t="s">
        <v>19</v>
      </c>
      <c r="C7" s="230"/>
      <c r="D7" s="230" t="s">
        <v>20</v>
      </c>
      <c r="E7" s="230" t="s">
        <v>21</v>
      </c>
      <c r="F7" s="230" t="s">
        <v>22</v>
      </c>
      <c r="G7" s="230" t="s">
        <v>23</v>
      </c>
      <c r="H7" s="230" t="s">
        <v>23</v>
      </c>
      <c r="I7" s="230" t="s">
        <v>24</v>
      </c>
      <c r="J7" s="230" t="s">
        <v>22</v>
      </c>
      <c r="K7" s="230" t="s">
        <v>24</v>
      </c>
      <c r="L7" s="230" t="s">
        <v>26</v>
      </c>
      <c r="M7" s="230" t="s">
        <v>27</v>
      </c>
      <c r="N7" s="189" t="s">
        <v>339</v>
      </c>
      <c r="O7" s="229" t="s">
        <v>339</v>
      </c>
      <c r="P7" s="189" t="s">
        <v>25</v>
      </c>
    </row>
    <row r="8" spans="1:16" ht="31.5" x14ac:dyDescent="0.25">
      <c r="A8" s="188">
        <v>1</v>
      </c>
      <c r="B8" s="12" t="s">
        <v>42</v>
      </c>
      <c r="C8" s="12" t="s">
        <v>29</v>
      </c>
      <c r="D8" s="230" t="s">
        <v>30</v>
      </c>
      <c r="E8" s="230">
        <v>1.4</v>
      </c>
      <c r="F8" s="230">
        <v>73</v>
      </c>
      <c r="G8" s="16">
        <f>H8*100/F8</f>
        <v>109.58904109589041</v>
      </c>
      <c r="H8" s="230">
        <v>80</v>
      </c>
      <c r="I8" s="17">
        <f>1/(H8/(10*F8))</f>
        <v>9.125</v>
      </c>
      <c r="J8" s="230">
        <v>0</v>
      </c>
      <c r="K8" s="17">
        <f>I8-(I8/100*J8)</f>
        <v>9.125</v>
      </c>
      <c r="L8" s="9">
        <f>A8/K8</f>
        <v>0.1095890410958904</v>
      </c>
      <c r="M8" s="9">
        <f>80/10/73*1.4</f>
        <v>0.15342465753424656</v>
      </c>
      <c r="N8" s="247">
        <f>H8/10/F8*E8*A8</f>
        <v>0.15342465753424656</v>
      </c>
      <c r="O8" s="244">
        <f>L8*E8</f>
        <v>0.15342465753424656</v>
      </c>
      <c r="P8" s="190" t="e">
        <f>O8*#REF!</f>
        <v>#REF!</v>
      </c>
    </row>
    <row r="9" spans="1:16" ht="31.5" x14ac:dyDescent="0.25">
      <c r="A9" s="188">
        <v>1</v>
      </c>
      <c r="B9" s="12" t="s">
        <v>273</v>
      </c>
      <c r="C9" s="12" t="s">
        <v>29</v>
      </c>
      <c r="D9" s="230"/>
      <c r="E9" s="230"/>
      <c r="F9" s="230"/>
      <c r="G9" s="16"/>
      <c r="H9" s="230">
        <v>3200</v>
      </c>
      <c r="I9" s="17"/>
      <c r="J9" s="230">
        <v>0</v>
      </c>
      <c r="K9" s="17">
        <f>I9-(I9/100*J9)</f>
        <v>0</v>
      </c>
      <c r="L9" s="9" t="e">
        <f>A9/K9</f>
        <v>#DIV/0!</v>
      </c>
      <c r="M9" s="9">
        <f>H9/1000*1.2</f>
        <v>3.84</v>
      </c>
      <c r="N9" s="248">
        <f>A9*M9</f>
        <v>3.84</v>
      </c>
      <c r="O9" s="244">
        <f>H9/1000*A9*1.2/0.6</f>
        <v>6.4</v>
      </c>
      <c r="P9" s="190" t="e">
        <f>O9*#REF!</f>
        <v>#REF!</v>
      </c>
    </row>
    <row r="10" spans="1:16" ht="31.5" x14ac:dyDescent="0.25">
      <c r="A10" s="188">
        <v>1</v>
      </c>
      <c r="B10" s="12" t="s">
        <v>271</v>
      </c>
      <c r="C10" s="12" t="s">
        <v>29</v>
      </c>
      <c r="D10" s="230"/>
      <c r="E10" s="230"/>
      <c r="F10" s="230"/>
      <c r="G10" s="16"/>
      <c r="H10" s="230">
        <v>4500</v>
      </c>
      <c r="I10" s="17"/>
      <c r="J10" s="230">
        <v>0</v>
      </c>
      <c r="K10" s="17">
        <f>I10-(I10/100*J10)</f>
        <v>0</v>
      </c>
      <c r="L10" s="9" t="e">
        <f>A10/K10</f>
        <v>#DIV/0!</v>
      </c>
      <c r="M10" s="9">
        <f>H10/1000*1.2</f>
        <v>5.3999999999999995</v>
      </c>
      <c r="N10" s="248">
        <f>A10*M10</f>
        <v>5.3999999999999995</v>
      </c>
      <c r="O10" s="244">
        <f>H10/1000*A10*1.2/0.6</f>
        <v>9</v>
      </c>
      <c r="P10" s="190" t="e">
        <f>O10*#REF!</f>
        <v>#REF!</v>
      </c>
    </row>
    <row r="11" spans="1:16" ht="31.5" x14ac:dyDescent="0.25">
      <c r="A11" s="188">
        <v>1</v>
      </c>
      <c r="B11" s="12" t="s">
        <v>43</v>
      </c>
      <c r="C11" s="12" t="s">
        <v>32</v>
      </c>
      <c r="D11" s="19" t="s">
        <v>177</v>
      </c>
      <c r="E11" s="230">
        <v>1.3</v>
      </c>
      <c r="F11" s="230">
        <v>58</v>
      </c>
      <c r="G11" s="16">
        <f>H11*100/F11</f>
        <v>86.206896551724142</v>
      </c>
      <c r="H11" s="230">
        <v>50</v>
      </c>
      <c r="I11" s="17">
        <f>1/(H11/(10*F11))</f>
        <v>11.6</v>
      </c>
      <c r="J11" s="230">
        <v>0</v>
      </c>
      <c r="K11" s="17">
        <f>I11-(I11/100*J11)</f>
        <v>11.6</v>
      </c>
      <c r="L11" s="9">
        <f>A11/K11</f>
        <v>8.6206896551724144E-2</v>
      </c>
      <c r="M11" s="9">
        <f>50/10/58*1.3</f>
        <v>0.1120689655172414</v>
      </c>
      <c r="N11" s="247">
        <f>H11/10/F11*E11*A11</f>
        <v>0.1120689655172414</v>
      </c>
      <c r="O11" s="244">
        <f>L11*E11</f>
        <v>0.1120689655172414</v>
      </c>
      <c r="P11" s="190" t="e">
        <f>O11*#REF!</f>
        <v>#REF!</v>
      </c>
    </row>
    <row r="12" spans="1:16" x14ac:dyDescent="0.25">
      <c r="A12" s="429" t="s">
        <v>168</v>
      </c>
      <c r="B12" s="335"/>
      <c r="C12" s="335"/>
      <c r="D12" s="335"/>
      <c r="E12" s="230">
        <v>0.9</v>
      </c>
      <c r="F12" s="335">
        <v>5</v>
      </c>
      <c r="G12" s="335"/>
      <c r="H12" s="335"/>
      <c r="I12" s="335"/>
      <c r="J12" s="335"/>
      <c r="K12" s="335"/>
      <c r="L12" s="13">
        <f>L8*(F12/100)</f>
        <v>5.4794520547945206E-3</v>
      </c>
      <c r="M12" s="13"/>
      <c r="N12" s="209">
        <f>N8/100*F12</f>
        <v>7.6712328767123278E-3</v>
      </c>
      <c r="O12" s="245">
        <f>O8/100*F12</f>
        <v>7.6712328767123278E-3</v>
      </c>
      <c r="P12" s="190" t="e">
        <f>O12*#REF!</f>
        <v>#REF!</v>
      </c>
    </row>
    <row r="13" spans="1:16" x14ac:dyDescent="0.25">
      <c r="A13" s="429" t="s">
        <v>40</v>
      </c>
      <c r="B13" s="335"/>
      <c r="C13" s="335"/>
      <c r="D13" s="335"/>
      <c r="E13" s="230">
        <v>0.9</v>
      </c>
      <c r="F13" s="335">
        <v>5</v>
      </c>
      <c r="G13" s="335"/>
      <c r="H13" s="335"/>
      <c r="I13" s="335"/>
      <c r="J13" s="335"/>
      <c r="K13" s="335"/>
      <c r="L13" s="13" t="e">
        <f>L10*(F13/100)</f>
        <v>#DIV/0!</v>
      </c>
      <c r="M13" s="13"/>
      <c r="N13" s="209">
        <f>N9/100*F13+N10/100*F1</f>
        <v>0.19199999999999998</v>
      </c>
      <c r="O13" s="245">
        <f>O10/100*F13</f>
        <v>0.44999999999999996</v>
      </c>
      <c r="P13" s="190" t="e">
        <f>O13*#REF!</f>
        <v>#REF!</v>
      </c>
    </row>
    <row r="14" spans="1:16" x14ac:dyDescent="0.25">
      <c r="A14" s="429" t="s">
        <v>169</v>
      </c>
      <c r="B14" s="335"/>
      <c r="C14" s="335"/>
      <c r="D14" s="335"/>
      <c r="E14" s="230">
        <v>0.9</v>
      </c>
      <c r="F14" s="335">
        <v>5</v>
      </c>
      <c r="G14" s="335"/>
      <c r="H14" s="335"/>
      <c r="I14" s="335"/>
      <c r="J14" s="335"/>
      <c r="K14" s="335"/>
      <c r="L14" s="13">
        <f>L11*(F14/100)</f>
        <v>4.3103448275862077E-3</v>
      </c>
      <c r="M14" s="13"/>
      <c r="N14" s="209">
        <f>N11/100*F14</f>
        <v>5.6034482758620698E-3</v>
      </c>
      <c r="O14" s="245">
        <f>O11/100*F14</f>
        <v>5.6034482758620698E-3</v>
      </c>
      <c r="P14" s="190" t="e">
        <f>O14*#REF!</f>
        <v>#REF!</v>
      </c>
    </row>
    <row r="15" spans="1:16" ht="16.5" thickBot="1" x14ac:dyDescent="0.3">
      <c r="A15" s="430" t="s">
        <v>35</v>
      </c>
      <c r="B15" s="357"/>
      <c r="C15" s="357"/>
      <c r="D15" s="357"/>
      <c r="E15" s="357"/>
      <c r="F15" s="357"/>
      <c r="G15" s="358"/>
      <c r="H15" s="228">
        <f>SUM(H8:H11)</f>
        <v>7830</v>
      </c>
      <c r="I15" s="289" t="s">
        <v>64</v>
      </c>
      <c r="J15" s="289"/>
      <c r="K15" s="289"/>
      <c r="L15" s="241"/>
      <c r="M15" s="241"/>
      <c r="N15" s="249">
        <f>SUM(N8:N14)</f>
        <v>9.7107683042040609</v>
      </c>
      <c r="O15" s="246">
        <f>SUM(O8:O14)</f>
        <v>16.128768304204065</v>
      </c>
      <c r="P15" s="242" t="e">
        <f>SUM(P8:P11)</f>
        <v>#REF!</v>
      </c>
    </row>
  </sheetData>
  <mergeCells count="27">
    <mergeCell ref="O4:O6"/>
    <mergeCell ref="P4:P6"/>
    <mergeCell ref="A2:P3"/>
    <mergeCell ref="A4:A6"/>
    <mergeCell ref="B4:B6"/>
    <mergeCell ref="C4:C6"/>
    <mergeCell ref="D4:D6"/>
    <mergeCell ref="E4:E6"/>
    <mergeCell ref="F4:F6"/>
    <mergeCell ref="G4:H4"/>
    <mergeCell ref="I4:K4"/>
    <mergeCell ref="A12:D12"/>
    <mergeCell ref="F12:K12"/>
    <mergeCell ref="L4:L6"/>
    <mergeCell ref="M4:M6"/>
    <mergeCell ref="N4:N6"/>
    <mergeCell ref="G5:G6"/>
    <mergeCell ref="H5:H6"/>
    <mergeCell ref="I5:I6"/>
    <mergeCell ref="J5:J6"/>
    <mergeCell ref="K5:K6"/>
    <mergeCell ref="A13:D13"/>
    <mergeCell ref="F13:K13"/>
    <mergeCell ref="A14:D14"/>
    <mergeCell ref="F14:K14"/>
    <mergeCell ref="A15:G15"/>
    <mergeCell ref="I15:K15"/>
  </mergeCells>
  <pageMargins left="0.7" right="0.7" top="0.75" bottom="0.75" header="0.3" footer="0.3"/>
  <pageSetup paperSize="9" scale="7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6723-585B-4F7D-958C-C8DE4E808026}">
  <dimension ref="A2:U25"/>
  <sheetViews>
    <sheetView workbookViewId="0">
      <selection activeCell="N25" sqref="N25"/>
    </sheetView>
  </sheetViews>
  <sheetFormatPr defaultRowHeight="15" x14ac:dyDescent="0.25"/>
  <cols>
    <col min="1" max="1" width="16.42578125" customWidth="1"/>
    <col min="2" max="2" width="24.7109375" customWidth="1"/>
    <col min="3" max="3" width="15" customWidth="1"/>
    <col min="4" max="4" width="13.140625" customWidth="1"/>
    <col min="5" max="5" width="0" hidden="1" customWidth="1"/>
    <col min="6" max="6" width="10.42578125" customWidth="1"/>
    <col min="7" max="7" width="0" hidden="1" customWidth="1"/>
    <col min="8" max="8" width="17.42578125" customWidth="1"/>
    <col min="9" max="11" width="0" hidden="1" customWidth="1"/>
    <col min="12" max="12" width="13.140625" customWidth="1"/>
    <col min="13" max="13" width="11.42578125" customWidth="1"/>
    <col min="14" max="14" width="12.28515625" customWidth="1"/>
    <col min="15" max="15" width="16.7109375" customWidth="1"/>
    <col min="16" max="16" width="16.85546875" customWidth="1"/>
    <col min="17" max="17" width="16.140625" customWidth="1"/>
    <col min="18" max="18" width="17" customWidth="1"/>
    <col min="19" max="19" width="11.5703125" bestFit="1" customWidth="1"/>
  </cols>
  <sheetData>
    <row r="2" spans="1:18" ht="15.75" thickBot="1" x14ac:dyDescent="0.3">
      <c r="A2" s="37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422" t="s">
        <v>365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23"/>
    </row>
    <row r="4" spans="1:18" ht="15.75" thickBot="1" x14ac:dyDescent="0.3">
      <c r="A4" s="424"/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6"/>
    </row>
    <row r="5" spans="1:18" ht="39" customHeight="1" x14ac:dyDescent="0.25">
      <c r="A5" s="317" t="s">
        <v>0</v>
      </c>
      <c r="B5" s="324" t="s">
        <v>1</v>
      </c>
      <c r="C5" s="324" t="s">
        <v>2</v>
      </c>
      <c r="D5" s="324" t="s">
        <v>3</v>
      </c>
      <c r="E5" s="324" t="s">
        <v>4</v>
      </c>
      <c r="F5" s="324" t="s">
        <v>5</v>
      </c>
      <c r="G5" s="324" t="s">
        <v>6</v>
      </c>
      <c r="H5" s="324"/>
      <c r="I5" s="324" t="s">
        <v>7</v>
      </c>
      <c r="J5" s="324"/>
      <c r="K5" s="324"/>
      <c r="L5" s="324" t="s">
        <v>8</v>
      </c>
      <c r="M5" s="286" t="s">
        <v>9</v>
      </c>
      <c r="N5" s="286" t="s">
        <v>10</v>
      </c>
      <c r="O5" s="286" t="s">
        <v>368</v>
      </c>
      <c r="P5" s="286" t="s">
        <v>366</v>
      </c>
      <c r="Q5" s="286" t="s">
        <v>367</v>
      </c>
      <c r="R5" s="366" t="s">
        <v>12</v>
      </c>
    </row>
    <row r="6" spans="1:18" x14ac:dyDescent="0.25">
      <c r="A6" s="318"/>
      <c r="B6" s="322"/>
      <c r="C6" s="322"/>
      <c r="D6" s="322"/>
      <c r="E6" s="322"/>
      <c r="F6" s="322"/>
      <c r="G6" s="322" t="s">
        <v>13</v>
      </c>
      <c r="H6" s="322" t="s">
        <v>14</v>
      </c>
      <c r="I6" s="322" t="s">
        <v>15</v>
      </c>
      <c r="J6" s="322" t="s">
        <v>16</v>
      </c>
      <c r="K6" s="322" t="s">
        <v>17</v>
      </c>
      <c r="L6" s="322"/>
      <c r="M6" s="278"/>
      <c r="N6" s="278"/>
      <c r="O6" s="278"/>
      <c r="P6" s="278"/>
      <c r="Q6" s="278"/>
      <c r="R6" s="367"/>
    </row>
    <row r="7" spans="1:18" x14ac:dyDescent="0.25">
      <c r="A7" s="318"/>
      <c r="B7" s="322"/>
      <c r="C7" s="322"/>
      <c r="D7" s="322"/>
      <c r="E7" s="322"/>
      <c r="F7" s="322"/>
      <c r="G7" s="322"/>
      <c r="H7" s="322"/>
      <c r="I7" s="322"/>
      <c r="J7" s="322"/>
      <c r="K7" s="322"/>
      <c r="L7" s="322"/>
      <c r="M7" s="278"/>
      <c r="N7" s="278"/>
      <c r="O7" s="278"/>
      <c r="P7" s="278"/>
      <c r="Q7" s="278"/>
      <c r="R7" s="367"/>
    </row>
    <row r="8" spans="1:18" ht="15.75" x14ac:dyDescent="0.25">
      <c r="A8" s="175" t="s">
        <v>18</v>
      </c>
      <c r="B8" s="174" t="s">
        <v>19</v>
      </c>
      <c r="C8" s="174"/>
      <c r="D8" s="174" t="s">
        <v>20</v>
      </c>
      <c r="E8" s="174" t="s">
        <v>21</v>
      </c>
      <c r="F8" s="174" t="s">
        <v>22</v>
      </c>
      <c r="G8" s="174" t="s">
        <v>23</v>
      </c>
      <c r="H8" s="174" t="s">
        <v>23</v>
      </c>
      <c r="I8" s="174" t="s">
        <v>24</v>
      </c>
      <c r="J8" s="174" t="s">
        <v>22</v>
      </c>
      <c r="K8" s="174" t="s">
        <v>24</v>
      </c>
      <c r="L8" s="174" t="s">
        <v>25</v>
      </c>
      <c r="M8" s="173" t="s">
        <v>25</v>
      </c>
      <c r="N8" s="173" t="s">
        <v>26</v>
      </c>
      <c r="O8" s="173" t="s">
        <v>27</v>
      </c>
      <c r="P8" s="173" t="s">
        <v>339</v>
      </c>
      <c r="Q8" s="173" t="s">
        <v>339</v>
      </c>
      <c r="R8" s="21" t="s">
        <v>25</v>
      </c>
    </row>
    <row r="9" spans="1:18" ht="31.5" x14ac:dyDescent="0.25">
      <c r="A9" s="175">
        <v>3530</v>
      </c>
      <c r="B9" s="12" t="s">
        <v>370</v>
      </c>
      <c r="C9" s="12" t="s">
        <v>29</v>
      </c>
      <c r="D9" s="173" t="s">
        <v>30</v>
      </c>
      <c r="E9" s="173">
        <v>1.4</v>
      </c>
      <c r="F9" s="173">
        <v>83</v>
      </c>
      <c r="G9" s="16">
        <f>H9*100/F9</f>
        <v>96.385542168674704</v>
      </c>
      <c r="H9" s="173">
        <v>80</v>
      </c>
      <c r="I9" s="6">
        <f>1/(H9/(10*F9))</f>
        <v>10.375</v>
      </c>
      <c r="J9" s="174">
        <v>40</v>
      </c>
      <c r="K9" s="6">
        <f>I9-(I9/100*J9)</f>
        <v>6.2250000000000005</v>
      </c>
      <c r="L9" s="7">
        <f>612*1.2</f>
        <v>734.4</v>
      </c>
      <c r="M9" s="8">
        <f>L9*E9</f>
        <v>1028.1599999999999</v>
      </c>
      <c r="N9" s="9">
        <f>A9/K9</f>
        <v>567.0682730923694</v>
      </c>
      <c r="O9" s="9">
        <f>80/10/83*1.4</f>
        <v>0.13493975903614458</v>
      </c>
      <c r="P9" s="112">
        <f>H9/10/F9*E9*A9</f>
        <v>476.33734939759034</v>
      </c>
      <c r="Q9" s="112">
        <f>N9*E9</f>
        <v>793.89558232931711</v>
      </c>
      <c r="R9" s="22">
        <f>Q9*L9</f>
        <v>583036.91566265048</v>
      </c>
    </row>
    <row r="10" spans="1:18" ht="31.5" x14ac:dyDescent="0.25">
      <c r="A10" s="175">
        <v>3530</v>
      </c>
      <c r="B10" s="4" t="s">
        <v>271</v>
      </c>
      <c r="C10" s="4" t="s">
        <v>29</v>
      </c>
      <c r="D10" s="174"/>
      <c r="E10" s="174">
        <v>1</v>
      </c>
      <c r="F10" s="174">
        <v>83.4</v>
      </c>
      <c r="G10" s="5">
        <f>H10*100/F10</f>
        <v>5035.9712230215828</v>
      </c>
      <c r="H10" s="174">
        <v>4200</v>
      </c>
      <c r="I10" s="6">
        <f>1/(H10/(10*F10))</f>
        <v>0.19857142857142859</v>
      </c>
      <c r="J10" s="174">
        <v>40</v>
      </c>
      <c r="K10" s="6">
        <f>I10-(I10/100*J10)</f>
        <v>0.11914285714285716</v>
      </c>
      <c r="L10" s="7">
        <f>960*1.2</f>
        <v>1152</v>
      </c>
      <c r="M10" s="8">
        <f>L10*E10</f>
        <v>1152</v>
      </c>
      <c r="N10" s="9">
        <f>A10/K10</f>
        <v>29628.297362110308</v>
      </c>
      <c r="O10" s="9">
        <f>H10/1000*1.2</f>
        <v>5.04</v>
      </c>
      <c r="P10" s="8">
        <f>H10/10/F10*E10*A10</f>
        <v>17776.978417266186</v>
      </c>
      <c r="Q10" s="112">
        <f>H10/1000*A10*1.2/0.6</f>
        <v>29652.000000000004</v>
      </c>
      <c r="R10" s="22">
        <f t="shared" ref="R10:R11" si="0">Q10*L10</f>
        <v>34159104.000000007</v>
      </c>
    </row>
    <row r="11" spans="1:18" ht="42" customHeight="1" x14ac:dyDescent="0.25">
      <c r="A11" s="175">
        <v>3530</v>
      </c>
      <c r="B11" s="12" t="s">
        <v>371</v>
      </c>
      <c r="C11" s="12" t="s">
        <v>32</v>
      </c>
      <c r="D11" s="19" t="s">
        <v>369</v>
      </c>
      <c r="E11" s="173">
        <v>1.2</v>
      </c>
      <c r="F11" s="173">
        <v>63</v>
      </c>
      <c r="G11" s="16">
        <f>H11*100/F11</f>
        <v>79.365079365079367</v>
      </c>
      <c r="H11" s="174">
        <v>50</v>
      </c>
      <c r="I11" s="6">
        <f>1/(H11/(10*F11))</f>
        <v>12.600000000000001</v>
      </c>
      <c r="J11" s="174">
        <v>40</v>
      </c>
      <c r="K11" s="6">
        <f>I11-(I11/100*J11)</f>
        <v>7.5600000000000014</v>
      </c>
      <c r="L11" s="7">
        <f>750*1.2</f>
        <v>900</v>
      </c>
      <c r="M11" s="8">
        <f>L11*E11</f>
        <v>1080</v>
      </c>
      <c r="N11" s="9">
        <f>A11/K11</f>
        <v>466.93121693121685</v>
      </c>
      <c r="O11" s="9">
        <f>50/10/72*1.2</f>
        <v>8.3333333333333329E-2</v>
      </c>
      <c r="P11" s="112">
        <f>H11/10/F11*E11*A11</f>
        <v>336.19047619047615</v>
      </c>
      <c r="Q11" s="112">
        <f>N11*E11</f>
        <v>560.31746031746025</v>
      </c>
      <c r="R11" s="22">
        <f t="shared" si="0"/>
        <v>504285.7142857142</v>
      </c>
    </row>
    <row r="12" spans="1:18" ht="15.75" hidden="1" x14ac:dyDescent="0.25">
      <c r="A12" s="420" t="s">
        <v>168</v>
      </c>
      <c r="B12" s="363"/>
      <c r="C12" s="363"/>
      <c r="D12" s="363"/>
      <c r="E12" s="174">
        <v>0.9</v>
      </c>
      <c r="F12" s="363">
        <v>5</v>
      </c>
      <c r="G12" s="363"/>
      <c r="H12" s="363"/>
      <c r="I12" s="363"/>
      <c r="J12" s="363"/>
      <c r="K12" s="363"/>
      <c r="L12" s="4">
        <v>500</v>
      </c>
      <c r="M12" s="12"/>
      <c r="N12" s="13">
        <f>N9*(F12/100)</f>
        <v>28.353413654618471</v>
      </c>
      <c r="O12" s="13"/>
      <c r="P12" s="9">
        <f>P9/100*F12</f>
        <v>23.816867469879519</v>
      </c>
      <c r="Q12" s="9">
        <f>Q9/100*F12</f>
        <v>39.69477911646586</v>
      </c>
      <c r="R12" s="22">
        <f>Q12*L12</f>
        <v>19847.389558232931</v>
      </c>
    </row>
    <row r="13" spans="1:18" ht="15.75" hidden="1" x14ac:dyDescent="0.25">
      <c r="A13" s="420" t="s">
        <v>40</v>
      </c>
      <c r="B13" s="363"/>
      <c r="C13" s="363"/>
      <c r="D13" s="363"/>
      <c r="E13" s="174">
        <v>0.9</v>
      </c>
      <c r="F13" s="363">
        <v>5</v>
      </c>
      <c r="G13" s="363"/>
      <c r="H13" s="363"/>
      <c r="I13" s="363"/>
      <c r="J13" s="363"/>
      <c r="K13" s="363"/>
      <c r="L13" s="4">
        <v>500</v>
      </c>
      <c r="M13" s="12"/>
      <c r="N13" s="13">
        <f>N10*(F13/100)</f>
        <v>1481.4148681055156</v>
      </c>
      <c r="O13" s="13"/>
      <c r="P13" s="9">
        <f>P10/100*F13</f>
        <v>888.84892086330922</v>
      </c>
      <c r="Q13" s="9">
        <f>Q10/100*F13</f>
        <v>1482.6000000000001</v>
      </c>
      <c r="R13" s="22">
        <f>Q13*L13</f>
        <v>741300.00000000012</v>
      </c>
    </row>
    <row r="14" spans="1:18" ht="15.75" hidden="1" x14ac:dyDescent="0.25">
      <c r="A14" s="420" t="s">
        <v>169</v>
      </c>
      <c r="B14" s="363"/>
      <c r="C14" s="363"/>
      <c r="D14" s="363"/>
      <c r="E14" s="174">
        <v>0.9</v>
      </c>
      <c r="F14" s="363">
        <v>5</v>
      </c>
      <c r="G14" s="363"/>
      <c r="H14" s="363"/>
      <c r="I14" s="363"/>
      <c r="J14" s="363"/>
      <c r="K14" s="363"/>
      <c r="L14" s="4">
        <v>500</v>
      </c>
      <c r="M14" s="12"/>
      <c r="N14" s="13">
        <f>N11*(F14/100)</f>
        <v>23.346560846560845</v>
      </c>
      <c r="O14" s="13"/>
      <c r="P14" s="9">
        <f>P11/100*F14</f>
        <v>16.809523809523807</v>
      </c>
      <c r="Q14" s="9">
        <f>Q11/100*F14</f>
        <v>28.015873015873012</v>
      </c>
      <c r="R14" s="22">
        <f>Q14*L14</f>
        <v>14007.936507936505</v>
      </c>
    </row>
    <row r="15" spans="1:18" ht="16.5" customHeight="1" thickBot="1" x14ac:dyDescent="0.3">
      <c r="A15" s="412" t="s">
        <v>35</v>
      </c>
      <c r="B15" s="413"/>
      <c r="C15" s="413"/>
      <c r="D15" s="413"/>
      <c r="E15" s="183"/>
      <c r="F15" s="439">
        <f>SUM(H9:H11)</f>
        <v>4330</v>
      </c>
      <c r="G15" s="413"/>
      <c r="H15" s="414"/>
      <c r="I15" s="323" t="s">
        <v>64</v>
      </c>
      <c r="J15" s="323"/>
      <c r="K15" s="323"/>
      <c r="L15" s="32"/>
      <c r="M15" s="32"/>
      <c r="N15" s="32"/>
      <c r="O15" s="32"/>
      <c r="P15" s="33">
        <f>SUM(P9:P14)</f>
        <v>19518.981554996964</v>
      </c>
      <c r="Q15" s="33">
        <f>SUM(Q9:Q14)</f>
        <v>32556.52369477912</v>
      </c>
      <c r="R15" s="25">
        <f>SUM(R9:R11)</f>
        <v>35246426.629948378</v>
      </c>
    </row>
    <row r="22" spans="19:21" x14ac:dyDescent="0.25">
      <c r="S22">
        <v>1087322.6299483646</v>
      </c>
      <c r="U22">
        <f>'СК ПРОЕКТ'!R12+'СК ПРОЕКТ'!R14</f>
        <v>18225959.721616305</v>
      </c>
    </row>
    <row r="24" spans="19:21" x14ac:dyDescent="0.25">
      <c r="T24">
        <f>S22-U22</f>
        <v>-17138637.091667943</v>
      </c>
    </row>
    <row r="25" spans="19:21" x14ac:dyDescent="0.25">
      <c r="S25" s="134"/>
    </row>
  </sheetData>
  <mergeCells count="30">
    <mergeCell ref="A3:R4"/>
    <mergeCell ref="D5:D7"/>
    <mergeCell ref="E5:E7"/>
    <mergeCell ref="F5:F7"/>
    <mergeCell ref="R5:R7"/>
    <mergeCell ref="G6:G7"/>
    <mergeCell ref="H6:H7"/>
    <mergeCell ref="I6:I7"/>
    <mergeCell ref="J6:J7"/>
    <mergeCell ref="K6:K7"/>
    <mergeCell ref="G5:H5"/>
    <mergeCell ref="I5:K5"/>
    <mergeCell ref="L5:L7"/>
    <mergeCell ref="M5:M7"/>
    <mergeCell ref="N5:N7"/>
    <mergeCell ref="O5:O7"/>
    <mergeCell ref="I15:K15"/>
    <mergeCell ref="A15:D15"/>
    <mergeCell ref="F15:H15"/>
    <mergeCell ref="P5:P7"/>
    <mergeCell ref="Q5:Q7"/>
    <mergeCell ref="A12:D12"/>
    <mergeCell ref="F12:K12"/>
    <mergeCell ref="A13:D13"/>
    <mergeCell ref="F13:K13"/>
    <mergeCell ref="A14:D14"/>
    <mergeCell ref="F14:K14"/>
    <mergeCell ref="A5:A7"/>
    <mergeCell ref="B5:B7"/>
    <mergeCell ref="C5:C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35"/>
  <sheetViews>
    <sheetView topLeftCell="A23" workbookViewId="0">
      <selection activeCell="A33" sqref="A33:XFD34"/>
    </sheetView>
  </sheetViews>
  <sheetFormatPr defaultRowHeight="15" x14ac:dyDescent="0.25"/>
  <cols>
    <col min="2" max="2" width="17.7109375" customWidth="1"/>
    <col min="3" max="3" width="13.28515625" customWidth="1"/>
    <col min="4" max="4" width="11" customWidth="1"/>
    <col min="12" max="12" width="9.42578125" bestFit="1" customWidth="1"/>
    <col min="16" max="16" width="16.140625" customWidth="1"/>
  </cols>
  <sheetData>
    <row r="1" spans="1:16" x14ac:dyDescent="0.25">
      <c r="A1" s="390" t="s">
        <v>49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</row>
    <row r="2" spans="1:16" ht="15.75" x14ac:dyDescent="0.25">
      <c r="A2" s="322" t="s">
        <v>0</v>
      </c>
      <c r="B2" s="322" t="s">
        <v>1</v>
      </c>
      <c r="C2" s="322" t="s">
        <v>2</v>
      </c>
      <c r="D2" s="322" t="s">
        <v>3</v>
      </c>
      <c r="E2" s="322" t="s">
        <v>4</v>
      </c>
      <c r="F2" s="322" t="s">
        <v>5</v>
      </c>
      <c r="G2" s="322" t="s">
        <v>6</v>
      </c>
      <c r="H2" s="322"/>
      <c r="I2" s="322" t="s">
        <v>7</v>
      </c>
      <c r="J2" s="322"/>
      <c r="K2" s="322"/>
      <c r="L2" s="322" t="s">
        <v>8</v>
      </c>
      <c r="M2" s="278" t="s">
        <v>9</v>
      </c>
      <c r="N2" s="278" t="s">
        <v>10</v>
      </c>
      <c r="O2" s="278" t="s">
        <v>11</v>
      </c>
      <c r="P2" s="362" t="s">
        <v>12</v>
      </c>
    </row>
    <row r="3" spans="1:16" x14ac:dyDescent="0.25">
      <c r="A3" s="322"/>
      <c r="B3" s="322"/>
      <c r="C3" s="322"/>
      <c r="D3" s="322"/>
      <c r="E3" s="322"/>
      <c r="F3" s="322"/>
      <c r="G3" s="322" t="s">
        <v>13</v>
      </c>
      <c r="H3" s="322" t="s">
        <v>14</v>
      </c>
      <c r="I3" s="322" t="s">
        <v>15</v>
      </c>
      <c r="J3" s="322" t="s">
        <v>16</v>
      </c>
      <c r="K3" s="322" t="s">
        <v>17</v>
      </c>
      <c r="L3" s="322"/>
      <c r="M3" s="278"/>
      <c r="N3" s="278"/>
      <c r="O3" s="278"/>
      <c r="P3" s="362"/>
    </row>
    <row r="4" spans="1:16" x14ac:dyDescent="0.25">
      <c r="A4" s="322"/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278"/>
      <c r="N4" s="278"/>
      <c r="O4" s="278"/>
      <c r="P4" s="362"/>
    </row>
    <row r="5" spans="1:16" ht="15.75" x14ac:dyDescent="0.25">
      <c r="A5" s="2" t="s">
        <v>18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2" t="s">
        <v>23</v>
      </c>
      <c r="H5" s="2" t="s">
        <v>23</v>
      </c>
      <c r="I5" s="2" t="s">
        <v>24</v>
      </c>
      <c r="J5" s="2" t="s">
        <v>22</v>
      </c>
      <c r="K5" s="2" t="s">
        <v>24</v>
      </c>
      <c r="L5" s="2" t="s">
        <v>25</v>
      </c>
      <c r="M5" s="3" t="s">
        <v>25</v>
      </c>
      <c r="N5" s="3" t="s">
        <v>26</v>
      </c>
      <c r="O5" s="3" t="s">
        <v>27</v>
      </c>
      <c r="P5" s="2" t="s">
        <v>28</v>
      </c>
    </row>
    <row r="6" spans="1:16" ht="31.5" x14ac:dyDescent="0.25">
      <c r="A6" s="2">
        <v>1</v>
      </c>
      <c r="B6" s="4" t="s">
        <v>65</v>
      </c>
      <c r="C6" s="4" t="s">
        <v>29</v>
      </c>
      <c r="D6" s="2" t="s">
        <v>30</v>
      </c>
      <c r="E6" s="2">
        <v>1.4</v>
      </c>
      <c r="F6" s="2">
        <v>74</v>
      </c>
      <c r="G6" s="5">
        <f>H6*100/F6</f>
        <v>243.24324324324326</v>
      </c>
      <c r="H6" s="2">
        <v>180</v>
      </c>
      <c r="I6" s="6">
        <f>1/(H6/(10*F6))</f>
        <v>4.1111111111111107</v>
      </c>
      <c r="J6" s="2">
        <v>0</v>
      </c>
      <c r="K6" s="6">
        <f>I6-(I6/100*J6)</f>
        <v>4.1111111111111107</v>
      </c>
      <c r="L6" s="7">
        <v>380</v>
      </c>
      <c r="M6" s="8">
        <f>L6*E6</f>
        <v>532</v>
      </c>
      <c r="N6" s="9">
        <f>A6/K6</f>
        <v>0.24324324324324326</v>
      </c>
      <c r="O6" s="8">
        <f>E6*N6</f>
        <v>0.34054054054054056</v>
      </c>
      <c r="P6" s="10">
        <f>O6*L6</f>
        <v>129.40540540540542</v>
      </c>
    </row>
    <row r="7" spans="1:16" ht="31.5" x14ac:dyDescent="0.25">
      <c r="A7" s="2">
        <v>1</v>
      </c>
      <c r="B7" s="4" t="s">
        <v>31</v>
      </c>
      <c r="C7" s="4" t="s">
        <v>32</v>
      </c>
      <c r="D7" s="11">
        <v>7004</v>
      </c>
      <c r="E7" s="2">
        <v>1.4</v>
      </c>
      <c r="F7" s="2">
        <v>63</v>
      </c>
      <c r="G7" s="5">
        <f>H7*100/F7</f>
        <v>95.238095238095241</v>
      </c>
      <c r="H7" s="2">
        <v>60</v>
      </c>
      <c r="I7" s="6">
        <f>1/(H7/(10*F7))</f>
        <v>10.5</v>
      </c>
      <c r="J7" s="2">
        <v>0</v>
      </c>
      <c r="K7" s="6">
        <f>I7-(I7/100*J7)</f>
        <v>10.5</v>
      </c>
      <c r="L7" s="7">
        <v>615</v>
      </c>
      <c r="M7" s="8">
        <f>L7*E7</f>
        <v>861</v>
      </c>
      <c r="N7" s="9">
        <f>A7/K7</f>
        <v>9.5238095238095233E-2</v>
      </c>
      <c r="O7" s="9">
        <f>E7*N7</f>
        <v>0.1333333333333333</v>
      </c>
      <c r="P7" s="10">
        <f>O7*L7</f>
        <v>81.999999999999986</v>
      </c>
    </row>
    <row r="8" spans="1:16" ht="15.75" x14ac:dyDescent="0.25">
      <c r="A8" s="363" t="s">
        <v>33</v>
      </c>
      <c r="B8" s="363"/>
      <c r="C8" s="363"/>
      <c r="D8" s="363"/>
      <c r="E8" s="2">
        <v>0.9</v>
      </c>
      <c r="F8" s="363">
        <v>10</v>
      </c>
      <c r="G8" s="363"/>
      <c r="H8" s="363"/>
      <c r="I8" s="363"/>
      <c r="J8" s="2"/>
      <c r="K8" s="2"/>
      <c r="L8" s="4">
        <v>450</v>
      </c>
      <c r="M8" s="12">
        <v>423</v>
      </c>
      <c r="N8" s="13">
        <f>N6*(F8/100)</f>
        <v>2.4324324324324326E-2</v>
      </c>
      <c r="O8" s="9">
        <f>E8*N8</f>
        <v>2.1891891891891894E-2</v>
      </c>
      <c r="P8" s="10">
        <f>N8*L8</f>
        <v>10.945945945945947</v>
      </c>
    </row>
    <row r="9" spans="1:16" ht="15.75" x14ac:dyDescent="0.25">
      <c r="A9" s="363" t="s">
        <v>34</v>
      </c>
      <c r="B9" s="363"/>
      <c r="C9" s="363"/>
      <c r="D9" s="363"/>
      <c r="E9" s="2">
        <v>0.9</v>
      </c>
      <c r="F9" s="363">
        <v>10</v>
      </c>
      <c r="G9" s="363"/>
      <c r="H9" s="363"/>
      <c r="I9" s="363"/>
      <c r="J9" s="2"/>
      <c r="K9" s="2"/>
      <c r="L9" s="4">
        <v>450</v>
      </c>
      <c r="M9" s="12">
        <v>423</v>
      </c>
      <c r="N9" s="13">
        <f>N7*(F9/100)</f>
        <v>9.5238095238095247E-3</v>
      </c>
      <c r="O9" s="9">
        <f>E9*N9</f>
        <v>8.5714285714285719E-3</v>
      </c>
      <c r="P9" s="10">
        <f>N9*L9</f>
        <v>4.2857142857142865</v>
      </c>
    </row>
    <row r="10" spans="1:16" ht="15.75" x14ac:dyDescent="0.25">
      <c r="A10" s="2"/>
      <c r="B10" s="363" t="s">
        <v>35</v>
      </c>
      <c r="C10" s="363"/>
      <c r="D10" s="363"/>
      <c r="E10" s="363"/>
      <c r="F10" s="363"/>
      <c r="G10" s="363"/>
      <c r="H10" s="2">
        <f>SUM(H6:H7)</f>
        <v>240</v>
      </c>
      <c r="I10" s="335" t="s">
        <v>66</v>
      </c>
      <c r="J10" s="335"/>
      <c r="K10" s="335"/>
      <c r="L10" s="335"/>
      <c r="M10" s="335"/>
      <c r="N10" s="335"/>
      <c r="O10" s="335"/>
      <c r="P10" s="41">
        <f>SUM(P6:P9)</f>
        <v>226.63706563706563</v>
      </c>
    </row>
    <row r="16" spans="1:16" ht="15.75" x14ac:dyDescent="0.25">
      <c r="A16" s="443" t="s">
        <v>0</v>
      </c>
      <c r="B16" s="443" t="s">
        <v>1</v>
      </c>
      <c r="C16" s="443" t="s">
        <v>2</v>
      </c>
      <c r="D16" s="443" t="s">
        <v>3</v>
      </c>
      <c r="E16" s="443" t="s">
        <v>4</v>
      </c>
      <c r="F16" s="443" t="s">
        <v>5</v>
      </c>
      <c r="G16" s="443" t="s">
        <v>6</v>
      </c>
      <c r="H16" s="443"/>
      <c r="I16" s="443" t="s">
        <v>7</v>
      </c>
      <c r="J16" s="443"/>
      <c r="K16" s="443"/>
      <c r="L16" s="443" t="s">
        <v>8</v>
      </c>
      <c r="M16" s="444" t="s">
        <v>9</v>
      </c>
      <c r="N16" s="444" t="s">
        <v>10</v>
      </c>
      <c r="O16" s="444" t="s">
        <v>11</v>
      </c>
      <c r="P16" s="440" t="s">
        <v>12</v>
      </c>
    </row>
    <row r="17" spans="1:16" x14ac:dyDescent="0.25">
      <c r="A17" s="442"/>
      <c r="B17" s="442"/>
      <c r="C17" s="442"/>
      <c r="D17" s="442"/>
      <c r="E17" s="442"/>
      <c r="F17" s="442"/>
      <c r="G17" s="442" t="s">
        <v>13</v>
      </c>
      <c r="H17" s="442" t="s">
        <v>14</v>
      </c>
      <c r="I17" s="442" t="s">
        <v>15</v>
      </c>
      <c r="J17" s="442" t="s">
        <v>16</v>
      </c>
      <c r="K17" s="442" t="s">
        <v>17</v>
      </c>
      <c r="L17" s="442"/>
      <c r="M17" s="445"/>
      <c r="N17" s="445"/>
      <c r="O17" s="445"/>
      <c r="P17" s="441"/>
    </row>
    <row r="18" spans="1:16" x14ac:dyDescent="0.25">
      <c r="A18" s="442"/>
      <c r="B18" s="442"/>
      <c r="C18" s="442"/>
      <c r="D18" s="442"/>
      <c r="E18" s="442"/>
      <c r="F18" s="442"/>
      <c r="G18" s="442"/>
      <c r="H18" s="442"/>
      <c r="I18" s="442"/>
      <c r="J18" s="442"/>
      <c r="K18" s="442"/>
      <c r="L18" s="442"/>
      <c r="M18" s="445"/>
      <c r="N18" s="445"/>
      <c r="O18" s="445"/>
      <c r="P18" s="441"/>
    </row>
    <row r="19" spans="1:16" ht="15.75" x14ac:dyDescent="0.25">
      <c r="A19" s="2" t="s">
        <v>18</v>
      </c>
      <c r="B19" s="2" t="s">
        <v>19</v>
      </c>
      <c r="C19" s="2"/>
      <c r="D19" s="2" t="s">
        <v>20</v>
      </c>
      <c r="E19" s="2" t="s">
        <v>21</v>
      </c>
      <c r="F19" s="2" t="s">
        <v>22</v>
      </c>
      <c r="G19" s="2" t="s">
        <v>23</v>
      </c>
      <c r="H19" s="2" t="s">
        <v>23</v>
      </c>
      <c r="I19" s="2" t="s">
        <v>24</v>
      </c>
      <c r="J19" s="2" t="s">
        <v>22</v>
      </c>
      <c r="K19" s="2" t="s">
        <v>24</v>
      </c>
      <c r="L19" s="2" t="s">
        <v>25</v>
      </c>
      <c r="M19" s="3" t="s">
        <v>25</v>
      </c>
      <c r="N19" s="3" t="s">
        <v>26</v>
      </c>
      <c r="O19" s="3" t="s">
        <v>27</v>
      </c>
      <c r="P19" s="2" t="s">
        <v>28</v>
      </c>
    </row>
    <row r="20" spans="1:16" ht="15.75" x14ac:dyDescent="0.25">
      <c r="A20" s="2">
        <v>1</v>
      </c>
      <c r="B20" s="38" t="s">
        <v>37</v>
      </c>
      <c r="C20" s="39" t="s">
        <v>29</v>
      </c>
      <c r="D20" s="2" t="s">
        <v>30</v>
      </c>
      <c r="E20" s="2">
        <v>1.4</v>
      </c>
      <c r="F20" s="2">
        <v>83</v>
      </c>
      <c r="G20" s="5">
        <f>H20*100/F20</f>
        <v>216.86746987951807</v>
      </c>
      <c r="H20" s="2">
        <v>180</v>
      </c>
      <c r="I20" s="6">
        <f>1/(H20/(10*F20))</f>
        <v>4.6111111111111107</v>
      </c>
      <c r="J20" s="2">
        <v>0</v>
      </c>
      <c r="K20" s="6">
        <f>I20-(I20/100*J20)</f>
        <v>4.6111111111111107</v>
      </c>
      <c r="L20" s="7">
        <f>420*1.2</f>
        <v>504</v>
      </c>
      <c r="M20" s="8">
        <f>L20*E20</f>
        <v>705.59999999999991</v>
      </c>
      <c r="N20" s="9">
        <f>A20/K20</f>
        <v>0.2168674698795181</v>
      </c>
      <c r="O20" s="9">
        <f>E20*N20</f>
        <v>0.30361445783132535</v>
      </c>
      <c r="P20" s="40">
        <f>O20*L20</f>
        <v>153.02168674698797</v>
      </c>
    </row>
    <row r="21" spans="1:16" ht="15.75" x14ac:dyDescent="0.25">
      <c r="A21" s="2">
        <v>1</v>
      </c>
      <c r="B21" s="38" t="s">
        <v>38</v>
      </c>
      <c r="C21" s="39" t="s">
        <v>32</v>
      </c>
      <c r="D21" s="43">
        <v>7004</v>
      </c>
      <c r="E21" s="2">
        <v>1.2</v>
      </c>
      <c r="F21" s="2">
        <v>68</v>
      </c>
      <c r="G21" s="5">
        <f>H21*100/F21</f>
        <v>88.235294117647058</v>
      </c>
      <c r="H21" s="2">
        <v>60</v>
      </c>
      <c r="I21" s="6">
        <f>1/(H21/(10*F21))</f>
        <v>11.333333333333332</v>
      </c>
      <c r="J21" s="2">
        <v>0</v>
      </c>
      <c r="K21" s="6">
        <f>I21-(I21/100*J21)</f>
        <v>11.333333333333332</v>
      </c>
      <c r="L21" s="7">
        <f>525*1.2</f>
        <v>630</v>
      </c>
      <c r="M21" s="8">
        <f>L21*E21</f>
        <v>756</v>
      </c>
      <c r="N21" s="9">
        <f>A21/K21</f>
        <v>8.8235294117647065E-2</v>
      </c>
      <c r="O21" s="9">
        <f>E21*N21</f>
        <v>0.10588235294117647</v>
      </c>
      <c r="P21" s="40">
        <f>O21*L21</f>
        <v>66.705882352941174</v>
      </c>
    </row>
    <row r="22" spans="1:16" ht="15.75" x14ac:dyDescent="0.25">
      <c r="A22" s="363" t="s">
        <v>33</v>
      </c>
      <c r="B22" s="363"/>
      <c r="C22" s="363"/>
      <c r="D22" s="363"/>
      <c r="E22" s="2">
        <v>0.9</v>
      </c>
      <c r="F22" s="363">
        <v>10</v>
      </c>
      <c r="G22" s="363"/>
      <c r="H22" s="363"/>
      <c r="I22" s="363"/>
      <c r="J22" s="2"/>
      <c r="K22" s="2"/>
      <c r="L22" s="39">
        <v>450</v>
      </c>
      <c r="M22" s="12"/>
      <c r="N22" s="13">
        <f>N20*(F22/100)</f>
        <v>2.168674698795181E-2</v>
      </c>
      <c r="O22" s="9">
        <f>O20*0.1</f>
        <v>3.0361445783132535E-2</v>
      </c>
      <c r="P22" s="40">
        <f>L22*O22</f>
        <v>13.662650602409641</v>
      </c>
    </row>
    <row r="23" spans="1:16" ht="15.75" x14ac:dyDescent="0.25">
      <c r="A23" s="363" t="s">
        <v>34</v>
      </c>
      <c r="B23" s="363"/>
      <c r="C23" s="363"/>
      <c r="D23" s="363"/>
      <c r="E23" s="2">
        <v>0.9</v>
      </c>
      <c r="F23" s="363">
        <v>10</v>
      </c>
      <c r="G23" s="363"/>
      <c r="H23" s="363"/>
      <c r="I23" s="363"/>
      <c r="J23" s="2"/>
      <c r="K23" s="2"/>
      <c r="L23" s="39">
        <v>450</v>
      </c>
      <c r="M23" s="12"/>
      <c r="N23" s="13">
        <f>N21*(F23/100)</f>
        <v>8.8235294117647075E-3</v>
      </c>
      <c r="O23" s="9">
        <f>O21*0.1</f>
        <v>1.0588235294117648E-2</v>
      </c>
      <c r="P23" s="40">
        <f>L23*O23</f>
        <v>4.764705882352942</v>
      </c>
    </row>
    <row r="24" spans="1:16" ht="15.75" customHeight="1" x14ac:dyDescent="0.25">
      <c r="A24" s="2"/>
      <c r="B24" s="363" t="s">
        <v>35</v>
      </c>
      <c r="C24" s="363"/>
      <c r="D24" s="363"/>
      <c r="E24" s="363"/>
      <c r="F24" s="363"/>
      <c r="G24" s="363"/>
      <c r="H24" s="2">
        <f>SUM(H20:H21)</f>
        <v>240</v>
      </c>
      <c r="I24" s="335" t="s">
        <v>66</v>
      </c>
      <c r="J24" s="335"/>
      <c r="K24" s="335"/>
      <c r="L24" s="335"/>
      <c r="M24" s="335"/>
      <c r="N24" s="335"/>
      <c r="O24" s="335"/>
      <c r="P24" s="42">
        <f>SUM(P20:P23)</f>
        <v>238.15492558469174</v>
      </c>
    </row>
    <row r="27" spans="1:16" ht="15.75" x14ac:dyDescent="0.25">
      <c r="A27" s="443" t="s">
        <v>0</v>
      </c>
      <c r="B27" s="443" t="s">
        <v>1</v>
      </c>
      <c r="C27" s="443" t="s">
        <v>2</v>
      </c>
      <c r="D27" s="443" t="s">
        <v>3</v>
      </c>
      <c r="E27" s="443" t="s">
        <v>4</v>
      </c>
      <c r="F27" s="443" t="s">
        <v>5</v>
      </c>
      <c r="G27" s="443" t="s">
        <v>6</v>
      </c>
      <c r="H27" s="443"/>
      <c r="I27" s="443" t="s">
        <v>7</v>
      </c>
      <c r="J27" s="443"/>
      <c r="K27" s="443"/>
      <c r="L27" s="443" t="s">
        <v>8</v>
      </c>
      <c r="M27" s="444" t="s">
        <v>9</v>
      </c>
      <c r="N27" s="444" t="s">
        <v>10</v>
      </c>
      <c r="O27" s="444" t="s">
        <v>11</v>
      </c>
      <c r="P27" s="440" t="s">
        <v>12</v>
      </c>
    </row>
    <row r="28" spans="1:16" x14ac:dyDescent="0.25">
      <c r="A28" s="442"/>
      <c r="B28" s="442"/>
      <c r="C28" s="442"/>
      <c r="D28" s="442"/>
      <c r="E28" s="442"/>
      <c r="F28" s="442"/>
      <c r="G28" s="442" t="s">
        <v>13</v>
      </c>
      <c r="H28" s="442" t="s">
        <v>14</v>
      </c>
      <c r="I28" s="442" t="s">
        <v>15</v>
      </c>
      <c r="J28" s="442" t="s">
        <v>16</v>
      </c>
      <c r="K28" s="442" t="s">
        <v>17</v>
      </c>
      <c r="L28" s="442"/>
      <c r="M28" s="445"/>
      <c r="N28" s="445"/>
      <c r="O28" s="445"/>
      <c r="P28" s="441"/>
    </row>
    <row r="29" spans="1:16" x14ac:dyDescent="0.25">
      <c r="A29" s="442"/>
      <c r="B29" s="442"/>
      <c r="C29" s="442"/>
      <c r="D29" s="442"/>
      <c r="E29" s="442"/>
      <c r="F29" s="442"/>
      <c r="G29" s="442"/>
      <c r="H29" s="442"/>
      <c r="I29" s="442"/>
      <c r="J29" s="442"/>
      <c r="K29" s="442"/>
      <c r="L29" s="442"/>
      <c r="M29" s="445"/>
      <c r="N29" s="445"/>
      <c r="O29" s="445"/>
      <c r="P29" s="441"/>
    </row>
    <row r="30" spans="1:16" ht="15.75" x14ac:dyDescent="0.25">
      <c r="A30" s="2" t="s">
        <v>18</v>
      </c>
      <c r="B30" s="2" t="s">
        <v>19</v>
      </c>
      <c r="C30" s="2"/>
      <c r="D30" s="2" t="s">
        <v>20</v>
      </c>
      <c r="E30" s="2" t="s">
        <v>21</v>
      </c>
      <c r="F30" s="2" t="s">
        <v>22</v>
      </c>
      <c r="G30" s="2" t="s">
        <v>23</v>
      </c>
      <c r="H30" s="2" t="s">
        <v>23</v>
      </c>
      <c r="I30" s="2" t="s">
        <v>24</v>
      </c>
      <c r="J30" s="2" t="s">
        <v>22</v>
      </c>
      <c r="K30" s="2" t="s">
        <v>24</v>
      </c>
      <c r="L30" s="2" t="s">
        <v>25</v>
      </c>
      <c r="M30" s="3" t="s">
        <v>25</v>
      </c>
      <c r="N30" s="3" t="s">
        <v>26</v>
      </c>
      <c r="O30" s="3" t="s">
        <v>27</v>
      </c>
      <c r="P30" s="2" t="s">
        <v>28</v>
      </c>
    </row>
    <row r="31" spans="1:16" ht="15.75" x14ac:dyDescent="0.25">
      <c r="A31" s="2">
        <v>1</v>
      </c>
      <c r="B31" s="38" t="s">
        <v>67</v>
      </c>
      <c r="C31" s="39" t="s">
        <v>29</v>
      </c>
      <c r="D31" s="2" t="s">
        <v>30</v>
      </c>
      <c r="E31" s="2">
        <v>1.48</v>
      </c>
      <c r="F31" s="2">
        <v>73</v>
      </c>
      <c r="G31" s="5">
        <f>H31*100/F31</f>
        <v>246.57534246575344</v>
      </c>
      <c r="H31" s="2">
        <v>180</v>
      </c>
      <c r="I31" s="6">
        <f>1/(H31/(10*F31))</f>
        <v>4.0555555555555554</v>
      </c>
      <c r="J31" s="2">
        <v>0</v>
      </c>
      <c r="K31" s="6">
        <f>I31-(I31/100*J31)</f>
        <v>4.0555555555555554</v>
      </c>
      <c r="L31" s="7">
        <v>470</v>
      </c>
      <c r="M31" s="8">
        <f>L31*E31</f>
        <v>695.6</v>
      </c>
      <c r="N31" s="9">
        <f>A31/K31</f>
        <v>0.24657534246575344</v>
      </c>
      <c r="O31" s="9">
        <f>E31*N31</f>
        <v>0.36493150684931508</v>
      </c>
      <c r="P31" s="40">
        <f>O31*L31</f>
        <v>171.51780821917808</v>
      </c>
    </row>
    <row r="32" spans="1:16" ht="15.75" x14ac:dyDescent="0.25">
      <c r="A32" s="2">
        <v>1</v>
      </c>
      <c r="B32" s="38" t="s">
        <v>68</v>
      </c>
      <c r="C32" s="39" t="s">
        <v>32</v>
      </c>
      <c r="D32" s="43">
        <v>7004</v>
      </c>
      <c r="E32" s="2">
        <v>1.2</v>
      </c>
      <c r="F32" s="2">
        <v>58</v>
      </c>
      <c r="G32" s="5">
        <f>H32*100/F32</f>
        <v>103.44827586206897</v>
      </c>
      <c r="H32" s="2">
        <v>60</v>
      </c>
      <c r="I32" s="6">
        <f>1/(H32/(10*F32))</f>
        <v>9.6666666666666661</v>
      </c>
      <c r="J32" s="2">
        <v>0</v>
      </c>
      <c r="K32" s="6">
        <f>I32-(I32/100*J32)</f>
        <v>9.6666666666666661</v>
      </c>
      <c r="L32" s="7">
        <v>590</v>
      </c>
      <c r="M32" s="8">
        <f>L32*E32</f>
        <v>708</v>
      </c>
      <c r="N32" s="9">
        <f>A32/K32</f>
        <v>0.10344827586206898</v>
      </c>
      <c r="O32" s="9">
        <f>E32*N32</f>
        <v>0.12413793103448277</v>
      </c>
      <c r="P32" s="40">
        <f>O32*L32</f>
        <v>73.24137931034484</v>
      </c>
    </row>
    <row r="33" spans="1:16" ht="15.75" x14ac:dyDescent="0.25">
      <c r="A33" s="363" t="s">
        <v>33</v>
      </c>
      <c r="B33" s="363"/>
      <c r="C33" s="363"/>
      <c r="D33" s="363"/>
      <c r="E33" s="2">
        <v>0.9</v>
      </c>
      <c r="F33" s="363">
        <v>10</v>
      </c>
      <c r="G33" s="363"/>
      <c r="H33" s="363"/>
      <c r="I33" s="363"/>
      <c r="J33" s="2"/>
      <c r="K33" s="2"/>
      <c r="L33" s="39">
        <v>450</v>
      </c>
      <c r="M33" s="12"/>
      <c r="N33" s="13">
        <f>N31*(F33/100)</f>
        <v>2.4657534246575345E-2</v>
      </c>
      <c r="O33" s="9">
        <f>O31*0.1</f>
        <v>3.6493150684931509E-2</v>
      </c>
      <c r="P33" s="40">
        <f>L33*O33</f>
        <v>16.421917808219177</v>
      </c>
    </row>
    <row r="34" spans="1:16" ht="15.75" x14ac:dyDescent="0.25">
      <c r="A34" s="363" t="s">
        <v>34</v>
      </c>
      <c r="B34" s="363"/>
      <c r="C34" s="363"/>
      <c r="D34" s="363"/>
      <c r="E34" s="2">
        <v>0.9</v>
      </c>
      <c r="F34" s="363">
        <v>10</v>
      </c>
      <c r="G34" s="363"/>
      <c r="H34" s="363"/>
      <c r="I34" s="363"/>
      <c r="J34" s="2"/>
      <c r="K34" s="2"/>
      <c r="L34" s="39">
        <v>450</v>
      </c>
      <c r="M34" s="12"/>
      <c r="N34" s="13">
        <f>N32*(F34/100)</f>
        <v>1.0344827586206898E-2</v>
      </c>
      <c r="O34" s="9">
        <f>O32*0.1</f>
        <v>1.2413793103448277E-2</v>
      </c>
      <c r="P34" s="40">
        <f>L34*O34</f>
        <v>5.5862068965517251</v>
      </c>
    </row>
    <row r="35" spans="1:16" ht="15.75" x14ac:dyDescent="0.25">
      <c r="A35" s="2"/>
      <c r="B35" s="363" t="s">
        <v>35</v>
      </c>
      <c r="C35" s="363"/>
      <c r="D35" s="363"/>
      <c r="E35" s="363"/>
      <c r="F35" s="363"/>
      <c r="G35" s="363"/>
      <c r="H35" s="2">
        <f>SUM(H31:H32)</f>
        <v>240</v>
      </c>
      <c r="I35" s="335" t="s">
        <v>66</v>
      </c>
      <c r="J35" s="335"/>
      <c r="K35" s="335"/>
      <c r="L35" s="335"/>
      <c r="M35" s="335"/>
      <c r="N35" s="335"/>
      <c r="O35" s="335"/>
      <c r="P35" s="42">
        <f>SUM(P31:P34)</f>
        <v>266.76731223429385</v>
      </c>
    </row>
  </sheetData>
  <mergeCells count="73">
    <mergeCell ref="A33:D33"/>
    <mergeCell ref="F33:I33"/>
    <mergeCell ref="A34:D34"/>
    <mergeCell ref="F34:I34"/>
    <mergeCell ref="B35:G35"/>
    <mergeCell ref="I35:O35"/>
    <mergeCell ref="N27:N29"/>
    <mergeCell ref="O27:O29"/>
    <mergeCell ref="P27:P29"/>
    <mergeCell ref="G28:G29"/>
    <mergeCell ref="H28:H29"/>
    <mergeCell ref="I28:I29"/>
    <mergeCell ref="J28:J29"/>
    <mergeCell ref="K28:K29"/>
    <mergeCell ref="F27:F29"/>
    <mergeCell ref="G27:H27"/>
    <mergeCell ref="I27:K27"/>
    <mergeCell ref="L27:L29"/>
    <mergeCell ref="M27:M29"/>
    <mergeCell ref="A27:A29"/>
    <mergeCell ref="B27:B29"/>
    <mergeCell ref="C27:C29"/>
    <mergeCell ref="D27:D29"/>
    <mergeCell ref="E27:E29"/>
    <mergeCell ref="A1:P1"/>
    <mergeCell ref="A2:A4"/>
    <mergeCell ref="B2:B4"/>
    <mergeCell ref="C2:C4"/>
    <mergeCell ref="D2:D4"/>
    <mergeCell ref="E2:E4"/>
    <mergeCell ref="F2:F4"/>
    <mergeCell ref="G2:H2"/>
    <mergeCell ref="I2:K2"/>
    <mergeCell ref="L2:L4"/>
    <mergeCell ref="M2:M4"/>
    <mergeCell ref="N2:N4"/>
    <mergeCell ref="O2:O4"/>
    <mergeCell ref="P2:P4"/>
    <mergeCell ref="G3:G4"/>
    <mergeCell ref="H3:H4"/>
    <mergeCell ref="I3:I4"/>
    <mergeCell ref="J3:J4"/>
    <mergeCell ref="K3:K4"/>
    <mergeCell ref="A8:D8"/>
    <mergeCell ref="F8:I8"/>
    <mergeCell ref="A9:D9"/>
    <mergeCell ref="F9:I9"/>
    <mergeCell ref="B10:G10"/>
    <mergeCell ref="I10:O10"/>
    <mergeCell ref="F16:F18"/>
    <mergeCell ref="A16:A18"/>
    <mergeCell ref="B16:B18"/>
    <mergeCell ref="C16:C18"/>
    <mergeCell ref="D16:D18"/>
    <mergeCell ref="E16:E18"/>
    <mergeCell ref="P16:P18"/>
    <mergeCell ref="G17:G18"/>
    <mergeCell ref="H17:H18"/>
    <mergeCell ref="I17:I18"/>
    <mergeCell ref="J17:J18"/>
    <mergeCell ref="K17:K18"/>
    <mergeCell ref="G16:H16"/>
    <mergeCell ref="I16:K16"/>
    <mergeCell ref="L16:L18"/>
    <mergeCell ref="M16:M18"/>
    <mergeCell ref="N16:N18"/>
    <mergeCell ref="O16:O18"/>
    <mergeCell ref="A22:D22"/>
    <mergeCell ref="F22:I22"/>
    <mergeCell ref="A23:D23"/>
    <mergeCell ref="F23:I23"/>
    <mergeCell ref="B24:G24"/>
    <mergeCell ref="I24:O24"/>
  </mergeCells>
  <pageMargins left="0.7" right="0.7" top="0.75" bottom="0.75" header="0.3" footer="0.3"/>
  <pageSetup paperSize="9" scale="7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H28" sqref="H28"/>
    </sheetView>
  </sheetViews>
  <sheetFormatPr defaultRowHeight="15" x14ac:dyDescent="0.25"/>
  <sheetData>
    <row r="1" spans="1:1" x14ac:dyDescent="0.25">
      <c r="A1" s="1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B5" sqref="B5"/>
    </sheetView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109"/>
  <sheetViews>
    <sheetView tabSelected="1" zoomScale="55" zoomScaleNormal="55" workbookViewId="0">
      <selection activeCell="O6" sqref="O6"/>
    </sheetView>
  </sheetViews>
  <sheetFormatPr defaultRowHeight="15" x14ac:dyDescent="0.25"/>
  <cols>
    <col min="1" max="1" width="16.42578125" style="273" customWidth="1"/>
    <col min="2" max="2" width="16.7109375" style="273" customWidth="1"/>
    <col min="3" max="3" width="15.140625" style="273" customWidth="1"/>
    <col min="4" max="4" width="9.140625" style="273"/>
    <col min="5" max="5" width="12.42578125" style="273" customWidth="1"/>
    <col min="6" max="6" width="12.7109375" style="273" customWidth="1"/>
    <col min="7" max="7" width="12" style="273" customWidth="1"/>
    <col min="8" max="8" width="15.85546875" style="273" customWidth="1"/>
    <col min="9" max="9" width="12.140625" style="273" customWidth="1"/>
    <col min="10" max="12" width="9.140625" style="273" customWidth="1"/>
    <col min="13" max="13" width="14.42578125" style="273" customWidth="1"/>
    <col min="14" max="14" width="13.7109375" style="273" customWidth="1"/>
    <col min="15" max="15" width="20.42578125" style="273" customWidth="1"/>
    <col min="16" max="16" width="13" style="273" customWidth="1"/>
    <col min="17" max="16384" width="9.140625" style="273"/>
  </cols>
  <sheetData>
    <row r="1" spans="1:16" x14ac:dyDescent="0.25">
      <c r="A1" s="449" t="s">
        <v>44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</row>
    <row r="2" spans="1:16" ht="15.75" x14ac:dyDescent="0.25">
      <c r="A2" s="278" t="s">
        <v>0</v>
      </c>
      <c r="B2" s="278" t="s">
        <v>1</v>
      </c>
      <c r="C2" s="278" t="s">
        <v>2</v>
      </c>
      <c r="D2" s="278" t="s">
        <v>3</v>
      </c>
      <c r="E2" s="278" t="s">
        <v>4</v>
      </c>
      <c r="F2" s="278" t="s">
        <v>5</v>
      </c>
      <c r="G2" s="278" t="s">
        <v>6</v>
      </c>
      <c r="H2" s="278"/>
      <c r="I2" s="278" t="s">
        <v>7</v>
      </c>
      <c r="J2" s="278"/>
      <c r="K2" s="278"/>
      <c r="L2" s="278" t="s">
        <v>8</v>
      </c>
      <c r="M2" s="278" t="s">
        <v>9</v>
      </c>
      <c r="N2" s="278" t="s">
        <v>10</v>
      </c>
      <c r="O2" s="278" t="s">
        <v>11</v>
      </c>
      <c r="P2" s="338" t="s">
        <v>12</v>
      </c>
    </row>
    <row r="3" spans="1:16" x14ac:dyDescent="0.25">
      <c r="A3" s="278"/>
      <c r="B3" s="278"/>
      <c r="C3" s="278"/>
      <c r="D3" s="278"/>
      <c r="E3" s="278"/>
      <c r="F3" s="278"/>
      <c r="G3" s="278" t="s">
        <v>13</v>
      </c>
      <c r="H3" s="278" t="s">
        <v>14</v>
      </c>
      <c r="I3" s="278" t="s">
        <v>15</v>
      </c>
      <c r="J3" s="278" t="s">
        <v>16</v>
      </c>
      <c r="K3" s="278" t="s">
        <v>17</v>
      </c>
      <c r="L3" s="278"/>
      <c r="M3" s="278"/>
      <c r="N3" s="278"/>
      <c r="O3" s="278"/>
      <c r="P3" s="338"/>
    </row>
    <row r="4" spans="1:16" x14ac:dyDescent="0.25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338"/>
    </row>
    <row r="5" spans="1:16" ht="15.75" x14ac:dyDescent="0.25">
      <c r="A5" s="255" t="s">
        <v>18</v>
      </c>
      <c r="B5" s="255" t="s">
        <v>19</v>
      </c>
      <c r="C5" s="255"/>
      <c r="D5" s="255" t="s">
        <v>20</v>
      </c>
      <c r="E5" s="255" t="s">
        <v>21</v>
      </c>
      <c r="F5" s="255" t="s">
        <v>22</v>
      </c>
      <c r="G5" s="255" t="s">
        <v>23</v>
      </c>
      <c r="H5" s="255" t="s">
        <v>23</v>
      </c>
      <c r="I5" s="255" t="s">
        <v>24</v>
      </c>
      <c r="J5" s="255" t="s">
        <v>22</v>
      </c>
      <c r="K5" s="255" t="s">
        <v>24</v>
      </c>
      <c r="L5" s="255" t="s">
        <v>25</v>
      </c>
      <c r="M5" s="255" t="s">
        <v>25</v>
      </c>
      <c r="N5" s="255" t="s">
        <v>26</v>
      </c>
      <c r="O5" s="255" t="s">
        <v>27</v>
      </c>
      <c r="P5" s="255" t="s">
        <v>28</v>
      </c>
    </row>
    <row r="6" spans="1:16" ht="31.5" x14ac:dyDescent="0.25">
      <c r="A6" s="255">
        <v>90</v>
      </c>
      <c r="B6" s="12" t="s">
        <v>42</v>
      </c>
      <c r="C6" s="12" t="s">
        <v>29</v>
      </c>
      <c r="D6" s="255" t="s">
        <v>30</v>
      </c>
      <c r="E6" s="255">
        <v>1.4</v>
      </c>
      <c r="F6" s="255">
        <v>73</v>
      </c>
      <c r="G6" s="16">
        <f>H6*100/F6</f>
        <v>191.78082191780823</v>
      </c>
      <c r="H6" s="255">
        <v>140</v>
      </c>
      <c r="I6" s="17">
        <f>1/(H6/(10*F6))</f>
        <v>5.2142857142857144</v>
      </c>
      <c r="J6" s="255">
        <v>30</v>
      </c>
      <c r="K6" s="17">
        <f>I6-(I6/100*J6)</f>
        <v>3.6500000000000004</v>
      </c>
      <c r="L6" s="8">
        <f>340*1.5</f>
        <v>510</v>
      </c>
      <c r="M6" s="8">
        <f>E6*L6</f>
        <v>714</v>
      </c>
      <c r="N6" s="9">
        <f>A6/K6</f>
        <v>24.657534246575342</v>
      </c>
      <c r="O6" s="8">
        <f>E6*N6</f>
        <v>34.520547945205479</v>
      </c>
      <c r="P6" s="18">
        <f>O6*L6</f>
        <v>17605.479452054795</v>
      </c>
    </row>
    <row r="7" spans="1:16" ht="31.5" x14ac:dyDescent="0.25">
      <c r="A7" s="255">
        <v>90</v>
      </c>
      <c r="B7" s="12" t="s">
        <v>43</v>
      </c>
      <c r="C7" s="12" t="s">
        <v>32</v>
      </c>
      <c r="D7" s="19">
        <v>7035</v>
      </c>
      <c r="E7" s="255">
        <v>1.3</v>
      </c>
      <c r="F7" s="255">
        <v>58</v>
      </c>
      <c r="G7" s="16">
        <f>H7*100/F7</f>
        <v>103.44827586206897</v>
      </c>
      <c r="H7" s="255">
        <v>60</v>
      </c>
      <c r="I7" s="17">
        <f>1/(H7/(10*F7))</f>
        <v>9.6666666666666661</v>
      </c>
      <c r="J7" s="255">
        <v>30</v>
      </c>
      <c r="K7" s="17">
        <f>I7-(I7/100*J7)</f>
        <v>6.7666666666666657</v>
      </c>
      <c r="L7" s="8">
        <f>380*1.5</f>
        <v>570</v>
      </c>
      <c r="M7" s="8">
        <f>E7*L7</f>
        <v>741</v>
      </c>
      <c r="N7" s="9">
        <f>A7/K7</f>
        <v>13.300492610837439</v>
      </c>
      <c r="O7" s="9">
        <f>E7*N7</f>
        <v>17.290640394088673</v>
      </c>
      <c r="P7" s="18">
        <f>O7*L7</f>
        <v>9855.6650246305435</v>
      </c>
    </row>
    <row r="8" spans="1:16" ht="15.75" x14ac:dyDescent="0.25">
      <c r="A8" s="335" t="s">
        <v>33</v>
      </c>
      <c r="B8" s="335"/>
      <c r="C8" s="335"/>
      <c r="D8" s="335"/>
      <c r="E8" s="255">
        <v>0.9</v>
      </c>
      <c r="F8" s="335">
        <v>10</v>
      </c>
      <c r="G8" s="335"/>
      <c r="H8" s="335"/>
      <c r="I8" s="335"/>
      <c r="J8" s="255"/>
      <c r="K8" s="255"/>
      <c r="L8" s="12">
        <v>320</v>
      </c>
      <c r="M8" s="12"/>
      <c r="N8" s="13">
        <f>N6*(F8/100)</f>
        <v>2.4657534246575343</v>
      </c>
      <c r="O8" s="9">
        <f>E8*N8</f>
        <v>2.2191780821917808</v>
      </c>
      <c r="P8" s="18">
        <f>N8*L8</f>
        <v>789.04109589041104</v>
      </c>
    </row>
    <row r="9" spans="1:16" ht="15.75" x14ac:dyDescent="0.25">
      <c r="A9" s="335" t="s">
        <v>34</v>
      </c>
      <c r="B9" s="335"/>
      <c r="C9" s="335"/>
      <c r="D9" s="335"/>
      <c r="E9" s="255">
        <v>0.9</v>
      </c>
      <c r="F9" s="335">
        <v>10</v>
      </c>
      <c r="G9" s="335"/>
      <c r="H9" s="335"/>
      <c r="I9" s="335"/>
      <c r="J9" s="255"/>
      <c r="K9" s="255"/>
      <c r="L9" s="12">
        <v>320</v>
      </c>
      <c r="M9" s="12"/>
      <c r="N9" s="13">
        <f>N7*(F9/100)</f>
        <v>1.330049261083744</v>
      </c>
      <c r="O9" s="9">
        <f>E9*N9</f>
        <v>1.1970443349753697</v>
      </c>
      <c r="P9" s="18">
        <f>N9*L9</f>
        <v>425.61576354679806</v>
      </c>
    </row>
    <row r="10" spans="1:16" ht="15.75" x14ac:dyDescent="0.25">
      <c r="A10" s="255"/>
      <c r="B10" s="335" t="s">
        <v>35</v>
      </c>
      <c r="C10" s="335"/>
      <c r="D10" s="335"/>
      <c r="E10" s="335"/>
      <c r="F10" s="335"/>
      <c r="G10" s="335"/>
      <c r="H10" s="255">
        <f>SUM(H6:H7)</f>
        <v>200</v>
      </c>
      <c r="I10" s="335" t="s">
        <v>36</v>
      </c>
      <c r="J10" s="335"/>
      <c r="K10" s="335"/>
      <c r="L10" s="335"/>
      <c r="M10" s="335"/>
      <c r="N10" s="335"/>
      <c r="O10" s="335"/>
      <c r="P10" s="18">
        <f>SUM(P6:P9)</f>
        <v>28675.801336122546</v>
      </c>
    </row>
    <row r="13" spans="1:16" x14ac:dyDescent="0.25">
      <c r="A13" s="449" t="s">
        <v>178</v>
      </c>
      <c r="B13" s="449"/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/>
    </row>
    <row r="14" spans="1:16" ht="15.75" x14ac:dyDescent="0.25">
      <c r="A14" s="278" t="s">
        <v>0</v>
      </c>
      <c r="B14" s="278" t="s">
        <v>1</v>
      </c>
      <c r="C14" s="278" t="s">
        <v>2</v>
      </c>
      <c r="D14" s="278" t="s">
        <v>3</v>
      </c>
      <c r="E14" s="278" t="s">
        <v>4</v>
      </c>
      <c r="F14" s="278" t="s">
        <v>5</v>
      </c>
      <c r="G14" s="278" t="s">
        <v>6</v>
      </c>
      <c r="H14" s="278"/>
      <c r="I14" s="278" t="s">
        <v>7</v>
      </c>
      <c r="J14" s="278"/>
      <c r="K14" s="278"/>
      <c r="L14" s="278" t="s">
        <v>8</v>
      </c>
      <c r="M14" s="278" t="s">
        <v>9</v>
      </c>
      <c r="N14" s="278" t="s">
        <v>10</v>
      </c>
      <c r="O14" s="278" t="s">
        <v>11</v>
      </c>
      <c r="P14" s="338" t="s">
        <v>12</v>
      </c>
    </row>
    <row r="15" spans="1:16" x14ac:dyDescent="0.25">
      <c r="A15" s="278"/>
      <c r="B15" s="278"/>
      <c r="C15" s="278"/>
      <c r="D15" s="278"/>
      <c r="E15" s="278"/>
      <c r="F15" s="278"/>
      <c r="G15" s="278" t="s">
        <v>13</v>
      </c>
      <c r="H15" s="278" t="s">
        <v>14</v>
      </c>
      <c r="I15" s="278" t="s">
        <v>15</v>
      </c>
      <c r="J15" s="278" t="s">
        <v>16</v>
      </c>
      <c r="K15" s="278" t="s">
        <v>17</v>
      </c>
      <c r="L15" s="278"/>
      <c r="M15" s="278"/>
      <c r="N15" s="278"/>
      <c r="O15" s="278"/>
      <c r="P15" s="338"/>
    </row>
    <row r="16" spans="1:16" x14ac:dyDescent="0.25">
      <c r="A16" s="278"/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338"/>
    </row>
    <row r="17" spans="1:16" ht="15.75" x14ac:dyDescent="0.25">
      <c r="A17" s="255" t="s">
        <v>18</v>
      </c>
      <c r="B17" s="255" t="s">
        <v>19</v>
      </c>
      <c r="C17" s="255"/>
      <c r="D17" s="255" t="s">
        <v>20</v>
      </c>
      <c r="E17" s="255" t="s">
        <v>21</v>
      </c>
      <c r="F17" s="255" t="s">
        <v>22</v>
      </c>
      <c r="G17" s="255" t="s">
        <v>23</v>
      </c>
      <c r="H17" s="255" t="s">
        <v>23</v>
      </c>
      <c r="I17" s="255" t="s">
        <v>24</v>
      </c>
      <c r="J17" s="255" t="s">
        <v>22</v>
      </c>
      <c r="K17" s="255" t="s">
        <v>24</v>
      </c>
      <c r="L17" s="255" t="s">
        <v>25</v>
      </c>
      <c r="M17" s="255" t="s">
        <v>25</v>
      </c>
      <c r="N17" s="255" t="s">
        <v>26</v>
      </c>
      <c r="O17" s="255" t="s">
        <v>27</v>
      </c>
      <c r="P17" s="255" t="s">
        <v>28</v>
      </c>
    </row>
    <row r="18" spans="1:16" ht="31.5" x14ac:dyDescent="0.25">
      <c r="A18" s="255">
        <v>1</v>
      </c>
      <c r="B18" s="12" t="s">
        <v>42</v>
      </c>
      <c r="C18" s="12" t="s">
        <v>29</v>
      </c>
      <c r="D18" s="255" t="s">
        <v>30</v>
      </c>
      <c r="E18" s="255">
        <v>1.4</v>
      </c>
      <c r="F18" s="255">
        <v>73</v>
      </c>
      <c r="G18" s="16">
        <f>H18*100/F18</f>
        <v>123.28767123287672</v>
      </c>
      <c r="H18" s="255">
        <v>90</v>
      </c>
      <c r="I18" s="17">
        <f>1/(H18/(10*F18))</f>
        <v>8.1111111111111107</v>
      </c>
      <c r="J18" s="255">
        <v>0</v>
      </c>
      <c r="K18" s="17">
        <f>I18-(I18/100*J18)</f>
        <v>8.1111111111111107</v>
      </c>
      <c r="L18" s="8">
        <f>340*1.5</f>
        <v>510</v>
      </c>
      <c r="M18" s="8">
        <f>E18*L18</f>
        <v>714</v>
      </c>
      <c r="N18" s="9">
        <f>A18/K18</f>
        <v>0.12328767123287672</v>
      </c>
      <c r="O18" s="8">
        <f>E18*N18</f>
        <v>0.17260273972602741</v>
      </c>
      <c r="P18" s="18">
        <f>O18*L18</f>
        <v>88.027397260273986</v>
      </c>
    </row>
    <row r="19" spans="1:16" ht="31.5" x14ac:dyDescent="0.25">
      <c r="A19" s="255">
        <v>1</v>
      </c>
      <c r="B19" s="12" t="s">
        <v>43</v>
      </c>
      <c r="C19" s="12" t="s">
        <v>32</v>
      </c>
      <c r="D19" s="19" t="s">
        <v>177</v>
      </c>
      <c r="E19" s="255">
        <v>1.3</v>
      </c>
      <c r="F19" s="255">
        <v>58</v>
      </c>
      <c r="G19" s="16">
        <f>H19*100/F19</f>
        <v>103.44827586206897</v>
      </c>
      <c r="H19" s="255">
        <v>60</v>
      </c>
      <c r="I19" s="17">
        <f>1/(H19/(10*F19))</f>
        <v>9.6666666666666661</v>
      </c>
      <c r="J19" s="255">
        <v>0</v>
      </c>
      <c r="K19" s="17">
        <f>I19-(I19/100*J19)</f>
        <v>9.6666666666666661</v>
      </c>
      <c r="L19" s="8">
        <v>610</v>
      </c>
      <c r="M19" s="8">
        <f>E19*L19</f>
        <v>793</v>
      </c>
      <c r="N19" s="9">
        <f>A19/K19</f>
        <v>0.10344827586206898</v>
      </c>
      <c r="O19" s="9">
        <f>E19*N19</f>
        <v>0.13448275862068967</v>
      </c>
      <c r="P19" s="18">
        <f>O19*L19</f>
        <v>82.034482758620697</v>
      </c>
    </row>
    <row r="20" spans="1:16" ht="15.75" x14ac:dyDescent="0.25">
      <c r="A20" s="335" t="s">
        <v>33</v>
      </c>
      <c r="B20" s="335"/>
      <c r="C20" s="335"/>
      <c r="D20" s="335"/>
      <c r="E20" s="255">
        <v>0.9</v>
      </c>
      <c r="F20" s="335">
        <v>10</v>
      </c>
      <c r="G20" s="335"/>
      <c r="H20" s="335"/>
      <c r="I20" s="335"/>
      <c r="J20" s="255"/>
      <c r="K20" s="255"/>
      <c r="L20" s="12">
        <v>320</v>
      </c>
      <c r="M20" s="12"/>
      <c r="N20" s="13">
        <f>N18*(F20/100)</f>
        <v>1.2328767123287673E-2</v>
      </c>
      <c r="O20" s="9">
        <f>E20*N20</f>
        <v>1.1095890410958906E-2</v>
      </c>
      <c r="P20" s="18">
        <f>N20*L20</f>
        <v>3.9452054794520555</v>
      </c>
    </row>
    <row r="21" spans="1:16" ht="15.75" x14ac:dyDescent="0.25">
      <c r="A21" s="335" t="s">
        <v>34</v>
      </c>
      <c r="B21" s="335"/>
      <c r="C21" s="335"/>
      <c r="D21" s="335"/>
      <c r="E21" s="255">
        <v>0.9</v>
      </c>
      <c r="F21" s="335">
        <v>10</v>
      </c>
      <c r="G21" s="335"/>
      <c r="H21" s="335"/>
      <c r="I21" s="335"/>
      <c r="J21" s="255"/>
      <c r="K21" s="255"/>
      <c r="L21" s="12">
        <v>320</v>
      </c>
      <c r="M21" s="12"/>
      <c r="N21" s="13">
        <f>N19*(F21/100)</f>
        <v>1.0344827586206898E-2</v>
      </c>
      <c r="O21" s="9">
        <f>E21*N21</f>
        <v>9.3103448275862078E-3</v>
      </c>
      <c r="P21" s="18">
        <f>N21*L21</f>
        <v>3.3103448275862073</v>
      </c>
    </row>
    <row r="22" spans="1:16" ht="15.75" x14ac:dyDescent="0.25">
      <c r="A22" s="255"/>
      <c r="B22" s="335" t="s">
        <v>35</v>
      </c>
      <c r="C22" s="335"/>
      <c r="D22" s="335"/>
      <c r="E22" s="335"/>
      <c r="F22" s="335"/>
      <c r="G22" s="335"/>
      <c r="H22" s="255">
        <f>SUM(H18:H19)</f>
        <v>150</v>
      </c>
      <c r="I22" s="335"/>
      <c r="J22" s="335"/>
      <c r="K22" s="335"/>
      <c r="L22" s="335"/>
      <c r="M22" s="335"/>
      <c r="N22" s="335"/>
      <c r="O22" s="335"/>
      <c r="P22" s="18">
        <f>SUM(P18:P21)</f>
        <v>177.31743032593295</v>
      </c>
    </row>
    <row r="23" spans="1:16" ht="15.75" customHeight="1" x14ac:dyDescent="0.25"/>
    <row r="25" spans="1:16" x14ac:dyDescent="0.25">
      <c r="A25" s="446" t="s">
        <v>45</v>
      </c>
      <c r="B25" s="447"/>
      <c r="C25" s="447"/>
      <c r="D25" s="447"/>
      <c r="E25" s="447"/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8"/>
    </row>
    <row r="26" spans="1:16" ht="15.75" customHeight="1" x14ac:dyDescent="0.25">
      <c r="A26" s="278" t="s">
        <v>0</v>
      </c>
      <c r="B26" s="278" t="s">
        <v>1</v>
      </c>
      <c r="C26" s="278" t="s">
        <v>2</v>
      </c>
      <c r="D26" s="278" t="s">
        <v>3</v>
      </c>
      <c r="E26" s="278" t="s">
        <v>4</v>
      </c>
      <c r="F26" s="278" t="s">
        <v>5</v>
      </c>
      <c r="G26" s="278" t="s">
        <v>6</v>
      </c>
      <c r="H26" s="278"/>
      <c r="I26" s="278" t="s">
        <v>7</v>
      </c>
      <c r="J26" s="278"/>
      <c r="K26" s="278"/>
      <c r="L26" s="278" t="s">
        <v>8</v>
      </c>
      <c r="M26" s="278" t="s">
        <v>9</v>
      </c>
      <c r="N26" s="278" t="s">
        <v>10</v>
      </c>
      <c r="O26" s="278" t="s">
        <v>11</v>
      </c>
      <c r="P26" s="338" t="s">
        <v>12</v>
      </c>
    </row>
    <row r="27" spans="1:16" ht="15" customHeight="1" x14ac:dyDescent="0.25">
      <c r="A27" s="278"/>
      <c r="B27" s="278"/>
      <c r="C27" s="278"/>
      <c r="D27" s="278"/>
      <c r="E27" s="278"/>
      <c r="F27" s="278"/>
      <c r="G27" s="278" t="s">
        <v>13</v>
      </c>
      <c r="H27" s="278" t="s">
        <v>14</v>
      </c>
      <c r="I27" s="278" t="s">
        <v>15</v>
      </c>
      <c r="J27" s="278" t="s">
        <v>16</v>
      </c>
      <c r="K27" s="278" t="s">
        <v>17</v>
      </c>
      <c r="L27" s="278"/>
      <c r="M27" s="278"/>
      <c r="N27" s="278"/>
      <c r="O27" s="278"/>
      <c r="P27" s="338"/>
    </row>
    <row r="28" spans="1:16" ht="15" customHeight="1" x14ac:dyDescent="0.25">
      <c r="A28" s="278"/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338"/>
    </row>
    <row r="29" spans="1:16" ht="15.75" customHeight="1" x14ac:dyDescent="0.25">
      <c r="A29" s="255" t="s">
        <v>18</v>
      </c>
      <c r="B29" s="255" t="s">
        <v>19</v>
      </c>
      <c r="C29" s="255"/>
      <c r="D29" s="255" t="s">
        <v>20</v>
      </c>
      <c r="E29" s="255" t="s">
        <v>21</v>
      </c>
      <c r="F29" s="255" t="s">
        <v>22</v>
      </c>
      <c r="G29" s="255" t="s">
        <v>23</v>
      </c>
      <c r="H29" s="255" t="s">
        <v>23</v>
      </c>
      <c r="I29" s="255" t="s">
        <v>24</v>
      </c>
      <c r="J29" s="255" t="s">
        <v>22</v>
      </c>
      <c r="K29" s="255" t="s">
        <v>24</v>
      </c>
      <c r="L29" s="255" t="s">
        <v>25</v>
      </c>
      <c r="M29" s="255" t="s">
        <v>25</v>
      </c>
      <c r="N29" s="255" t="s">
        <v>26</v>
      </c>
      <c r="O29" s="255" t="s">
        <v>27</v>
      </c>
      <c r="P29" s="255" t="s">
        <v>28</v>
      </c>
    </row>
    <row r="30" spans="1:16" ht="34.5" customHeight="1" x14ac:dyDescent="0.25">
      <c r="A30" s="255">
        <v>1</v>
      </c>
      <c r="B30" s="12" t="s">
        <v>42</v>
      </c>
      <c r="C30" s="12" t="s">
        <v>29</v>
      </c>
      <c r="D30" s="255" t="s">
        <v>30</v>
      </c>
      <c r="E30" s="255">
        <v>1.4</v>
      </c>
      <c r="F30" s="255">
        <v>73</v>
      </c>
      <c r="G30" s="16">
        <f>H30*100/F30</f>
        <v>150.68493150684932</v>
      </c>
      <c r="H30" s="255">
        <v>110</v>
      </c>
      <c r="I30" s="17">
        <f>1/(H30/(10*F30))</f>
        <v>6.6363636363636367</v>
      </c>
      <c r="J30" s="255">
        <v>0</v>
      </c>
      <c r="K30" s="17">
        <f>I30-(I30/100*J30)</f>
        <v>6.6363636363636367</v>
      </c>
      <c r="L30" s="8">
        <f>340*1.5</f>
        <v>510</v>
      </c>
      <c r="M30" s="8">
        <f>E30*L30</f>
        <v>714</v>
      </c>
      <c r="N30" s="9">
        <f>A30/K30</f>
        <v>0.15068493150684931</v>
      </c>
      <c r="O30" s="8">
        <f>E30*N30</f>
        <v>0.21095890410958901</v>
      </c>
      <c r="P30" s="18">
        <f>O30*L30</f>
        <v>107.58904109589039</v>
      </c>
    </row>
    <row r="31" spans="1:16" ht="15.75" customHeight="1" x14ac:dyDescent="0.25">
      <c r="A31" s="255">
        <v>1</v>
      </c>
      <c r="B31" s="12" t="s">
        <v>43</v>
      </c>
      <c r="C31" s="12" t="s">
        <v>32</v>
      </c>
      <c r="D31" s="19">
        <v>7035</v>
      </c>
      <c r="E31" s="255">
        <v>1.3</v>
      </c>
      <c r="F31" s="255">
        <v>58</v>
      </c>
      <c r="G31" s="16">
        <f>H31*100/F31</f>
        <v>86.206896551724142</v>
      </c>
      <c r="H31" s="255">
        <v>50</v>
      </c>
      <c r="I31" s="17">
        <f>1/(H31/(10*F31))</f>
        <v>11.6</v>
      </c>
      <c r="J31" s="255">
        <v>0</v>
      </c>
      <c r="K31" s="17">
        <f>I31-(I31/100*J31)</f>
        <v>11.6</v>
      </c>
      <c r="L31" s="8">
        <v>570</v>
      </c>
      <c r="M31" s="8">
        <f>E31*L31</f>
        <v>741</v>
      </c>
      <c r="N31" s="9">
        <f>A31/K31</f>
        <v>8.6206896551724144E-2</v>
      </c>
      <c r="O31" s="9">
        <f>E31*N31</f>
        <v>0.1120689655172414</v>
      </c>
      <c r="P31" s="18">
        <f>O31*L31</f>
        <v>63.879310344827594</v>
      </c>
    </row>
    <row r="32" spans="1:16" ht="15.75" customHeight="1" x14ac:dyDescent="0.25">
      <c r="A32" s="335" t="s">
        <v>33</v>
      </c>
      <c r="B32" s="335"/>
      <c r="C32" s="335"/>
      <c r="D32" s="335"/>
      <c r="E32" s="255">
        <v>0.9</v>
      </c>
      <c r="F32" s="335">
        <v>10</v>
      </c>
      <c r="G32" s="335"/>
      <c r="H32" s="335"/>
      <c r="I32" s="335"/>
      <c r="J32" s="255"/>
      <c r="K32" s="255"/>
      <c r="L32" s="12">
        <v>320</v>
      </c>
      <c r="M32" s="12"/>
      <c r="N32" s="13">
        <f>N30*(F32/100)</f>
        <v>1.5068493150684932E-2</v>
      </c>
      <c r="O32" s="9">
        <f>E32*N32</f>
        <v>1.3561643835616439E-2</v>
      </c>
      <c r="P32" s="18">
        <f>N32*L32</f>
        <v>4.8219178082191778</v>
      </c>
    </row>
    <row r="33" spans="1:16" ht="15.75" x14ac:dyDescent="0.25">
      <c r="A33" s="335" t="s">
        <v>34</v>
      </c>
      <c r="B33" s="335"/>
      <c r="C33" s="335"/>
      <c r="D33" s="335"/>
      <c r="E33" s="255">
        <v>0.9</v>
      </c>
      <c r="F33" s="335">
        <v>10</v>
      </c>
      <c r="G33" s="335"/>
      <c r="H33" s="335"/>
      <c r="I33" s="335"/>
      <c r="J33" s="255"/>
      <c r="K33" s="255"/>
      <c r="L33" s="12">
        <v>320</v>
      </c>
      <c r="M33" s="12"/>
      <c r="N33" s="13">
        <f>N31*(F33/100)</f>
        <v>8.6206896551724154E-3</v>
      </c>
      <c r="O33" s="9">
        <f>E33*N33</f>
        <v>7.758620689655174E-3</v>
      </c>
      <c r="P33" s="18">
        <f>N33*L33</f>
        <v>2.758620689655173</v>
      </c>
    </row>
    <row r="34" spans="1:16" ht="15.75" x14ac:dyDescent="0.25">
      <c r="A34" s="255"/>
      <c r="B34" s="335" t="s">
        <v>35</v>
      </c>
      <c r="C34" s="335"/>
      <c r="D34" s="335"/>
      <c r="E34" s="335"/>
      <c r="F34" s="335"/>
      <c r="G34" s="335"/>
      <c r="H34" s="255">
        <f>SUM(H30:H31)</f>
        <v>160</v>
      </c>
      <c r="I34" s="335" t="s">
        <v>36</v>
      </c>
      <c r="J34" s="335"/>
      <c r="K34" s="335"/>
      <c r="L34" s="335"/>
      <c r="M34" s="335"/>
      <c r="N34" s="335"/>
      <c r="O34" s="335"/>
      <c r="P34" s="18">
        <f>SUM(P30:P33)</f>
        <v>179.04888993859234</v>
      </c>
    </row>
    <row r="37" spans="1:16" x14ac:dyDescent="0.25">
      <c r="A37" s="446" t="s">
        <v>179</v>
      </c>
      <c r="B37" s="447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8"/>
    </row>
    <row r="38" spans="1:16" ht="15.75" x14ac:dyDescent="0.25">
      <c r="A38" s="278" t="s">
        <v>0</v>
      </c>
      <c r="B38" s="278" t="s">
        <v>1</v>
      </c>
      <c r="C38" s="278" t="s">
        <v>2</v>
      </c>
      <c r="D38" s="278" t="s">
        <v>3</v>
      </c>
      <c r="E38" s="278" t="s">
        <v>4</v>
      </c>
      <c r="F38" s="278" t="s">
        <v>5</v>
      </c>
      <c r="G38" s="278" t="s">
        <v>6</v>
      </c>
      <c r="H38" s="278"/>
      <c r="I38" s="278" t="s">
        <v>7</v>
      </c>
      <c r="J38" s="278"/>
      <c r="K38" s="278"/>
      <c r="L38" s="278" t="s">
        <v>8</v>
      </c>
      <c r="M38" s="278" t="s">
        <v>9</v>
      </c>
      <c r="N38" s="278" t="s">
        <v>10</v>
      </c>
      <c r="O38" s="278" t="s">
        <v>11</v>
      </c>
      <c r="P38" s="338" t="s">
        <v>12</v>
      </c>
    </row>
    <row r="39" spans="1:16" x14ac:dyDescent="0.25">
      <c r="A39" s="278"/>
      <c r="B39" s="278"/>
      <c r="C39" s="278"/>
      <c r="D39" s="278"/>
      <c r="E39" s="278"/>
      <c r="F39" s="278"/>
      <c r="G39" s="278" t="s">
        <v>13</v>
      </c>
      <c r="H39" s="278" t="s">
        <v>14</v>
      </c>
      <c r="I39" s="278" t="s">
        <v>15</v>
      </c>
      <c r="J39" s="278" t="s">
        <v>16</v>
      </c>
      <c r="K39" s="278" t="s">
        <v>17</v>
      </c>
      <c r="L39" s="278"/>
      <c r="M39" s="278"/>
      <c r="N39" s="278"/>
      <c r="O39" s="278"/>
      <c r="P39" s="338"/>
    </row>
    <row r="40" spans="1:16" x14ac:dyDescent="0.25">
      <c r="A40" s="278"/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338"/>
    </row>
    <row r="41" spans="1:16" ht="15.75" x14ac:dyDescent="0.25">
      <c r="A41" s="255" t="s">
        <v>18</v>
      </c>
      <c r="B41" s="255" t="s">
        <v>19</v>
      </c>
      <c r="C41" s="255"/>
      <c r="D41" s="255" t="s">
        <v>20</v>
      </c>
      <c r="E41" s="255" t="s">
        <v>21</v>
      </c>
      <c r="F41" s="255" t="s">
        <v>22</v>
      </c>
      <c r="G41" s="255" t="s">
        <v>23</v>
      </c>
      <c r="H41" s="255" t="s">
        <v>23</v>
      </c>
      <c r="I41" s="255" t="s">
        <v>24</v>
      </c>
      <c r="J41" s="255" t="s">
        <v>22</v>
      </c>
      <c r="K41" s="255" t="s">
        <v>24</v>
      </c>
      <c r="L41" s="255" t="s">
        <v>25</v>
      </c>
      <c r="M41" s="255" t="s">
        <v>25</v>
      </c>
      <c r="N41" s="255" t="s">
        <v>26</v>
      </c>
      <c r="O41" s="255" t="s">
        <v>27</v>
      </c>
      <c r="P41" s="255" t="s">
        <v>28</v>
      </c>
    </row>
    <row r="42" spans="1:16" ht="31.5" x14ac:dyDescent="0.25">
      <c r="A42" s="255">
        <v>1</v>
      </c>
      <c r="B42" s="12" t="s">
        <v>180</v>
      </c>
      <c r="C42" s="12" t="s">
        <v>29</v>
      </c>
      <c r="D42" s="255" t="s">
        <v>30</v>
      </c>
      <c r="E42" s="255">
        <v>1.45</v>
      </c>
      <c r="F42" s="255">
        <v>90</v>
      </c>
      <c r="G42" s="16">
        <f>H42*100/F42</f>
        <v>166.66666666666666</v>
      </c>
      <c r="H42" s="255">
        <v>150</v>
      </c>
      <c r="I42" s="17">
        <f>1/(H42/(10*F42))</f>
        <v>6</v>
      </c>
      <c r="J42" s="255">
        <v>0</v>
      </c>
      <c r="K42" s="17">
        <f>I42-(I42/100*J42)</f>
        <v>6</v>
      </c>
      <c r="L42" s="8">
        <f>340*1.5</f>
        <v>510</v>
      </c>
      <c r="M42" s="8">
        <f>E42*L42</f>
        <v>739.5</v>
      </c>
      <c r="N42" s="9">
        <f>A42/K42</f>
        <v>0.16666666666666666</v>
      </c>
      <c r="O42" s="8">
        <f>E42*N42</f>
        <v>0.24166666666666664</v>
      </c>
      <c r="P42" s="18">
        <f>O42*L42</f>
        <v>123.24999999999999</v>
      </c>
    </row>
    <row r="43" spans="1:16" ht="31.5" x14ac:dyDescent="0.25">
      <c r="A43" s="255">
        <v>1</v>
      </c>
      <c r="B43" s="12" t="s">
        <v>180</v>
      </c>
      <c r="C43" s="12" t="s">
        <v>29</v>
      </c>
      <c r="D43" s="255" t="s">
        <v>30</v>
      </c>
      <c r="E43" s="255">
        <v>1.45</v>
      </c>
      <c r="F43" s="255">
        <v>90</v>
      </c>
      <c r="G43" s="16">
        <f>H43*100/F43</f>
        <v>166.66666666666666</v>
      </c>
      <c r="H43" s="255">
        <v>150</v>
      </c>
      <c r="I43" s="17">
        <f>1/(H43/(10*F43))</f>
        <v>6</v>
      </c>
      <c r="J43" s="255">
        <v>0</v>
      </c>
      <c r="K43" s="17">
        <f>I43-(I43/100*J43)</f>
        <v>6</v>
      </c>
      <c r="L43" s="8">
        <v>610</v>
      </c>
      <c r="M43" s="8">
        <f>E43*L43</f>
        <v>884.5</v>
      </c>
      <c r="N43" s="9">
        <f>A43/K43</f>
        <v>0.16666666666666666</v>
      </c>
      <c r="O43" s="9">
        <f>E43*N43</f>
        <v>0.24166666666666664</v>
      </c>
      <c r="P43" s="18">
        <f>O43*L43</f>
        <v>147.41666666666666</v>
      </c>
    </row>
    <row r="44" spans="1:16" ht="15.75" x14ac:dyDescent="0.25">
      <c r="A44" s="335" t="s">
        <v>33</v>
      </c>
      <c r="B44" s="335"/>
      <c r="C44" s="335"/>
      <c r="D44" s="335"/>
      <c r="E44" s="255">
        <v>0.9</v>
      </c>
      <c r="F44" s="335">
        <v>10</v>
      </c>
      <c r="G44" s="335"/>
      <c r="H44" s="335"/>
      <c r="I44" s="335"/>
      <c r="J44" s="255"/>
      <c r="K44" s="255"/>
      <c r="L44" s="12">
        <v>320</v>
      </c>
      <c r="M44" s="12"/>
      <c r="N44" s="13">
        <f>N42*(F44/100)</f>
        <v>1.6666666666666666E-2</v>
      </c>
      <c r="O44" s="9">
        <f>E44*N44</f>
        <v>1.4999999999999999E-2</v>
      </c>
      <c r="P44" s="18">
        <f>N44*L44</f>
        <v>5.333333333333333</v>
      </c>
    </row>
    <row r="45" spans="1:16" ht="15.75" customHeight="1" x14ac:dyDescent="0.25">
      <c r="A45" s="335" t="s">
        <v>33</v>
      </c>
      <c r="B45" s="335"/>
      <c r="C45" s="335"/>
      <c r="D45" s="335"/>
      <c r="E45" s="255">
        <v>0.9</v>
      </c>
      <c r="F45" s="335">
        <v>10</v>
      </c>
      <c r="G45" s="335"/>
      <c r="H45" s="335"/>
      <c r="I45" s="335"/>
      <c r="J45" s="255"/>
      <c r="K45" s="255"/>
      <c r="L45" s="12">
        <v>320</v>
      </c>
      <c r="M45" s="12"/>
      <c r="N45" s="13">
        <f>N43*(F45/100)</f>
        <v>1.6666666666666666E-2</v>
      </c>
      <c r="O45" s="9">
        <f>E45*N45</f>
        <v>1.4999999999999999E-2</v>
      </c>
      <c r="P45" s="18">
        <f>N45*L45</f>
        <v>5.333333333333333</v>
      </c>
    </row>
    <row r="46" spans="1:16" ht="15.75" x14ac:dyDescent="0.25">
      <c r="A46" s="255"/>
      <c r="B46" s="335" t="s">
        <v>35</v>
      </c>
      <c r="C46" s="335"/>
      <c r="D46" s="335"/>
      <c r="E46" s="335"/>
      <c r="F46" s="335"/>
      <c r="G46" s="335"/>
      <c r="H46" s="255">
        <f>SUM(H42:H43)</f>
        <v>300</v>
      </c>
      <c r="I46" s="335"/>
      <c r="J46" s="335"/>
      <c r="K46" s="335"/>
      <c r="L46" s="335"/>
      <c r="M46" s="335"/>
      <c r="N46" s="335"/>
      <c r="O46" s="335"/>
      <c r="P46" s="18">
        <f>SUM(P42:P45)</f>
        <v>281.33333333333326</v>
      </c>
    </row>
    <row r="48" spans="1:16" x14ac:dyDescent="0.25">
      <c r="A48" s="446" t="s">
        <v>179</v>
      </c>
      <c r="B48" s="447"/>
      <c r="C48" s="447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7"/>
      <c r="O48" s="447"/>
      <c r="P48" s="448"/>
    </row>
    <row r="49" spans="1:16" ht="15.75" x14ac:dyDescent="0.25">
      <c r="A49" s="278" t="s">
        <v>0</v>
      </c>
      <c r="B49" s="278" t="s">
        <v>1</v>
      </c>
      <c r="C49" s="278" t="s">
        <v>2</v>
      </c>
      <c r="D49" s="278" t="s">
        <v>3</v>
      </c>
      <c r="E49" s="278" t="s">
        <v>4</v>
      </c>
      <c r="F49" s="278" t="s">
        <v>5</v>
      </c>
      <c r="G49" s="278" t="s">
        <v>6</v>
      </c>
      <c r="H49" s="278"/>
      <c r="I49" s="278" t="s">
        <v>7</v>
      </c>
      <c r="J49" s="278"/>
      <c r="K49" s="278"/>
      <c r="L49" s="278" t="s">
        <v>8</v>
      </c>
      <c r="M49" s="278" t="s">
        <v>9</v>
      </c>
      <c r="N49" s="278" t="s">
        <v>10</v>
      </c>
      <c r="O49" s="278" t="s">
        <v>11</v>
      </c>
      <c r="P49" s="338" t="s">
        <v>12</v>
      </c>
    </row>
    <row r="50" spans="1:16" x14ac:dyDescent="0.25">
      <c r="A50" s="278"/>
      <c r="B50" s="278"/>
      <c r="C50" s="278"/>
      <c r="D50" s="278"/>
      <c r="E50" s="278"/>
      <c r="F50" s="278"/>
      <c r="G50" s="278" t="s">
        <v>13</v>
      </c>
      <c r="H50" s="278" t="s">
        <v>14</v>
      </c>
      <c r="I50" s="278" t="s">
        <v>15</v>
      </c>
      <c r="J50" s="278" t="s">
        <v>16</v>
      </c>
      <c r="K50" s="278" t="s">
        <v>17</v>
      </c>
      <c r="L50" s="278"/>
      <c r="M50" s="278"/>
      <c r="N50" s="278"/>
      <c r="O50" s="278"/>
      <c r="P50" s="338"/>
    </row>
    <row r="51" spans="1:16" x14ac:dyDescent="0.25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  <c r="P51" s="338"/>
    </row>
    <row r="52" spans="1:16" ht="15.75" x14ac:dyDescent="0.25">
      <c r="A52" s="255" t="s">
        <v>18</v>
      </c>
      <c r="B52" s="255" t="s">
        <v>19</v>
      </c>
      <c r="C52" s="255"/>
      <c r="D52" s="255" t="s">
        <v>20</v>
      </c>
      <c r="E52" s="255" t="s">
        <v>21</v>
      </c>
      <c r="F52" s="255" t="s">
        <v>22</v>
      </c>
      <c r="G52" s="255" t="s">
        <v>23</v>
      </c>
      <c r="H52" s="255" t="s">
        <v>23</v>
      </c>
      <c r="I52" s="255" t="s">
        <v>24</v>
      </c>
      <c r="J52" s="255" t="s">
        <v>22</v>
      </c>
      <c r="K52" s="255" t="s">
        <v>24</v>
      </c>
      <c r="L52" s="255" t="s">
        <v>25</v>
      </c>
      <c r="M52" s="255" t="s">
        <v>25</v>
      </c>
      <c r="N52" s="255" t="s">
        <v>26</v>
      </c>
      <c r="O52" s="255" t="s">
        <v>27</v>
      </c>
      <c r="P52" s="255" t="s">
        <v>28</v>
      </c>
    </row>
    <row r="53" spans="1:16" ht="31.5" x14ac:dyDescent="0.25">
      <c r="A53" s="255">
        <v>1</v>
      </c>
      <c r="B53" s="12" t="s">
        <v>42</v>
      </c>
      <c r="C53" s="12" t="s">
        <v>29</v>
      </c>
      <c r="D53" s="255" t="s">
        <v>30</v>
      </c>
      <c r="E53" s="255">
        <v>1.1499999999999999</v>
      </c>
      <c r="F53" s="255">
        <v>95</v>
      </c>
      <c r="G53" s="16">
        <f>H53*100/F53</f>
        <v>526.31578947368416</v>
      </c>
      <c r="H53" s="255">
        <v>500</v>
      </c>
      <c r="I53" s="17">
        <f>1/(H53/(10*F53))</f>
        <v>1.9000000000000001</v>
      </c>
      <c r="J53" s="255">
        <v>0</v>
      </c>
      <c r="K53" s="17">
        <f>I53-(I53/100*J53)</f>
        <v>1.9000000000000001</v>
      </c>
      <c r="L53" s="8">
        <f>340*1.5</f>
        <v>510</v>
      </c>
      <c r="M53" s="8">
        <f>E53*L53</f>
        <v>586.5</v>
      </c>
      <c r="N53" s="9">
        <f>A53/K53</f>
        <v>0.52631578947368418</v>
      </c>
      <c r="O53" s="8">
        <f>E53*N53</f>
        <v>0.60526315789473673</v>
      </c>
      <c r="P53" s="18">
        <f>O53*L53</f>
        <v>308.68421052631572</v>
      </c>
    </row>
    <row r="54" spans="1:16" ht="15.75" x14ac:dyDescent="0.25">
      <c r="A54" s="335" t="s">
        <v>33</v>
      </c>
      <c r="B54" s="335"/>
      <c r="C54" s="335"/>
      <c r="D54" s="335"/>
      <c r="E54" s="255">
        <v>0.9</v>
      </c>
      <c r="F54" s="335">
        <v>10</v>
      </c>
      <c r="G54" s="335"/>
      <c r="H54" s="335"/>
      <c r="I54" s="335"/>
      <c r="J54" s="255"/>
      <c r="K54" s="255"/>
      <c r="L54" s="12">
        <v>320</v>
      </c>
      <c r="M54" s="12"/>
      <c r="N54" s="13">
        <f>N53*(F54/100)</f>
        <v>5.2631578947368418E-2</v>
      </c>
      <c r="O54" s="9">
        <f>E54*N54</f>
        <v>4.736842105263158E-2</v>
      </c>
      <c r="P54" s="18">
        <f>N54*L54</f>
        <v>16.842105263157894</v>
      </c>
    </row>
    <row r="55" spans="1:16" ht="15.75" x14ac:dyDescent="0.25">
      <c r="A55" s="255"/>
      <c r="B55" s="335" t="s">
        <v>35</v>
      </c>
      <c r="C55" s="335"/>
      <c r="D55" s="335"/>
      <c r="E55" s="335"/>
      <c r="F55" s="335"/>
      <c r="G55" s="335"/>
      <c r="H55" s="255">
        <f>SUM(H53:H53)</f>
        <v>500</v>
      </c>
      <c r="I55" s="335" t="s">
        <v>36</v>
      </c>
      <c r="J55" s="335"/>
      <c r="K55" s="335"/>
      <c r="L55" s="335"/>
      <c r="M55" s="335"/>
      <c r="N55" s="335"/>
      <c r="O55" s="335"/>
      <c r="P55" s="18">
        <f>SUM(P53:P54)</f>
        <v>325.52631578947364</v>
      </c>
    </row>
    <row r="60" spans="1:16" x14ac:dyDescent="0.25">
      <c r="A60" s="446" t="s">
        <v>425</v>
      </c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8"/>
    </row>
    <row r="61" spans="1:16" ht="35.25" customHeight="1" x14ac:dyDescent="0.25">
      <c r="A61" s="278" t="s">
        <v>0</v>
      </c>
      <c r="B61" s="278" t="s">
        <v>1</v>
      </c>
      <c r="C61" s="278" t="s">
        <v>2</v>
      </c>
      <c r="D61" s="278" t="s">
        <v>3</v>
      </c>
      <c r="E61" s="278" t="s">
        <v>4</v>
      </c>
      <c r="F61" s="278" t="s">
        <v>5</v>
      </c>
      <c r="G61" s="278" t="s">
        <v>6</v>
      </c>
      <c r="H61" s="278"/>
      <c r="I61" s="278" t="s">
        <v>7</v>
      </c>
      <c r="J61" s="278"/>
      <c r="K61" s="278"/>
      <c r="L61" s="278" t="s">
        <v>8</v>
      </c>
      <c r="M61" s="278" t="s">
        <v>9</v>
      </c>
      <c r="N61" s="278" t="s">
        <v>10</v>
      </c>
      <c r="O61" s="278" t="s">
        <v>11</v>
      </c>
      <c r="P61" s="338" t="s">
        <v>12</v>
      </c>
    </row>
    <row r="62" spans="1:16" x14ac:dyDescent="0.25">
      <c r="A62" s="278"/>
      <c r="B62" s="278"/>
      <c r="C62" s="278"/>
      <c r="D62" s="278"/>
      <c r="E62" s="278"/>
      <c r="F62" s="278"/>
      <c r="G62" s="278" t="s">
        <v>13</v>
      </c>
      <c r="H62" s="278" t="s">
        <v>14</v>
      </c>
      <c r="I62" s="278" t="s">
        <v>15</v>
      </c>
      <c r="J62" s="278" t="s">
        <v>16</v>
      </c>
      <c r="K62" s="278" t="s">
        <v>17</v>
      </c>
      <c r="L62" s="278"/>
      <c r="M62" s="278"/>
      <c r="N62" s="278"/>
      <c r="O62" s="278"/>
      <c r="P62" s="338"/>
    </row>
    <row r="63" spans="1:16" x14ac:dyDescent="0.25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338"/>
    </row>
    <row r="64" spans="1:16" ht="15.75" x14ac:dyDescent="0.25">
      <c r="A64" s="255" t="s">
        <v>18</v>
      </c>
      <c r="B64" s="255" t="s">
        <v>19</v>
      </c>
      <c r="C64" s="255"/>
      <c r="D64" s="255" t="s">
        <v>20</v>
      </c>
      <c r="E64" s="255" t="s">
        <v>21</v>
      </c>
      <c r="F64" s="255" t="s">
        <v>22</v>
      </c>
      <c r="G64" s="255" t="s">
        <v>23</v>
      </c>
      <c r="H64" s="255" t="s">
        <v>23</v>
      </c>
      <c r="I64" s="255" t="s">
        <v>24</v>
      </c>
      <c r="J64" s="255" t="s">
        <v>22</v>
      </c>
      <c r="K64" s="255" t="s">
        <v>24</v>
      </c>
      <c r="L64" s="255" t="s">
        <v>25</v>
      </c>
      <c r="M64" s="255" t="s">
        <v>25</v>
      </c>
      <c r="N64" s="255" t="s">
        <v>26</v>
      </c>
      <c r="O64" s="255" t="s">
        <v>27</v>
      </c>
      <c r="P64" s="255" t="s">
        <v>28</v>
      </c>
    </row>
    <row r="65" spans="1:16" ht="31.5" x14ac:dyDescent="0.25">
      <c r="A65" s="255">
        <v>1</v>
      </c>
      <c r="B65" s="12" t="s">
        <v>180</v>
      </c>
      <c r="C65" s="12" t="s">
        <v>29</v>
      </c>
      <c r="D65" s="255" t="s">
        <v>30</v>
      </c>
      <c r="E65" s="255">
        <v>1.45</v>
      </c>
      <c r="F65" s="255">
        <v>90</v>
      </c>
      <c r="G65" s="16">
        <f>H65*100/F65</f>
        <v>166.66666666666666</v>
      </c>
      <c r="H65" s="255">
        <v>150</v>
      </c>
      <c r="I65" s="17">
        <f>1/(H65/(10*F65))</f>
        <v>6</v>
      </c>
      <c r="J65" s="255">
        <v>0</v>
      </c>
      <c r="K65" s="17">
        <f>I65-(I65/100*J65)</f>
        <v>6</v>
      </c>
      <c r="L65" s="8">
        <v>798</v>
      </c>
      <c r="M65" s="8">
        <f>E65*L65</f>
        <v>1157.0999999999999</v>
      </c>
      <c r="N65" s="9">
        <f>A65/K65</f>
        <v>0.16666666666666666</v>
      </c>
      <c r="O65" s="9">
        <f>E65*N65</f>
        <v>0.24166666666666664</v>
      </c>
      <c r="P65" s="18">
        <f>O65*L65</f>
        <v>192.84999999999997</v>
      </c>
    </row>
    <row r="66" spans="1:16" ht="31.5" x14ac:dyDescent="0.25">
      <c r="A66" s="255">
        <v>1</v>
      </c>
      <c r="B66" s="12" t="s">
        <v>180</v>
      </c>
      <c r="C66" s="12" t="s">
        <v>29</v>
      </c>
      <c r="D66" s="255" t="s">
        <v>30</v>
      </c>
      <c r="E66" s="255">
        <v>1.45</v>
      </c>
      <c r="F66" s="255">
        <v>90</v>
      </c>
      <c r="G66" s="16">
        <f>H66*100/F66</f>
        <v>166.66666666666666</v>
      </c>
      <c r="H66" s="255">
        <v>150</v>
      </c>
      <c r="I66" s="17">
        <f>1/(H66/(10*F66))</f>
        <v>6</v>
      </c>
      <c r="J66" s="255">
        <v>0</v>
      </c>
      <c r="K66" s="17">
        <f>I66-(I66/100*J66)</f>
        <v>6</v>
      </c>
      <c r="L66" s="8">
        <v>798</v>
      </c>
      <c r="M66" s="8">
        <f>E66*L66</f>
        <v>1157.0999999999999</v>
      </c>
      <c r="N66" s="9">
        <f>A66/K66</f>
        <v>0.16666666666666666</v>
      </c>
      <c r="O66" s="9">
        <f>E66*N66</f>
        <v>0.24166666666666664</v>
      </c>
      <c r="P66" s="18">
        <f>O66*L66</f>
        <v>192.84999999999997</v>
      </c>
    </row>
    <row r="67" spans="1:16" ht="15.75" hidden="1" x14ac:dyDescent="0.25">
      <c r="A67" s="335" t="s">
        <v>33</v>
      </c>
      <c r="B67" s="335"/>
      <c r="C67" s="335"/>
      <c r="D67" s="335"/>
      <c r="E67" s="255">
        <v>0.9</v>
      </c>
      <c r="F67" s="335">
        <v>10</v>
      </c>
      <c r="G67" s="335"/>
      <c r="H67" s="335"/>
      <c r="I67" s="335"/>
      <c r="J67" s="255"/>
      <c r="K67" s="255"/>
      <c r="L67" s="12">
        <v>0</v>
      </c>
      <c r="M67" s="12"/>
      <c r="N67" s="13">
        <f>N65*(F67/100)</f>
        <v>1.6666666666666666E-2</v>
      </c>
      <c r="O67" s="9">
        <f>E67*N67</f>
        <v>1.4999999999999999E-2</v>
      </c>
      <c r="P67" s="18">
        <f>N67*L67</f>
        <v>0</v>
      </c>
    </row>
    <row r="68" spans="1:16" ht="15.75" hidden="1" x14ac:dyDescent="0.25">
      <c r="A68" s="335" t="s">
        <v>33</v>
      </c>
      <c r="B68" s="335"/>
      <c r="C68" s="335"/>
      <c r="D68" s="335"/>
      <c r="E68" s="255">
        <v>0.9</v>
      </c>
      <c r="F68" s="335">
        <v>10</v>
      </c>
      <c r="G68" s="335"/>
      <c r="H68" s="335"/>
      <c r="I68" s="335"/>
      <c r="J68" s="255"/>
      <c r="K68" s="255"/>
      <c r="L68" s="12">
        <v>0</v>
      </c>
      <c r="M68" s="12"/>
      <c r="N68" s="13">
        <f>N66*(F68/100)</f>
        <v>1.6666666666666666E-2</v>
      </c>
      <c r="O68" s="9">
        <f>E68*N68</f>
        <v>1.4999999999999999E-2</v>
      </c>
      <c r="P68" s="18">
        <f>N68*L68</f>
        <v>0</v>
      </c>
    </row>
    <row r="69" spans="1:16" ht="15.75" x14ac:dyDescent="0.25">
      <c r="A69" s="255"/>
      <c r="B69" s="335" t="s">
        <v>35</v>
      </c>
      <c r="C69" s="335"/>
      <c r="D69" s="335"/>
      <c r="E69" s="335"/>
      <c r="F69" s="335"/>
      <c r="G69" s="335"/>
      <c r="H69" s="255">
        <f>SUM(H65:H66)</f>
        <v>300</v>
      </c>
      <c r="I69" s="335"/>
      <c r="J69" s="335"/>
      <c r="K69" s="335"/>
      <c r="L69" s="335"/>
      <c r="M69" s="335"/>
      <c r="N69" s="335"/>
      <c r="O69" s="335"/>
      <c r="P69" s="18">
        <f>SUM(P65:P68)</f>
        <v>385.69999999999993</v>
      </c>
    </row>
    <row r="73" spans="1:16" x14ac:dyDescent="0.25">
      <c r="A73" s="446" t="s">
        <v>426</v>
      </c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8"/>
    </row>
    <row r="74" spans="1:16" ht="15.75" x14ac:dyDescent="0.25">
      <c r="A74" s="278" t="s">
        <v>0</v>
      </c>
      <c r="B74" s="278" t="s">
        <v>1</v>
      </c>
      <c r="C74" s="278" t="s">
        <v>2</v>
      </c>
      <c r="D74" s="278" t="s">
        <v>3</v>
      </c>
      <c r="E74" s="278" t="s">
        <v>4</v>
      </c>
      <c r="F74" s="278" t="s">
        <v>5</v>
      </c>
      <c r="G74" s="278" t="s">
        <v>6</v>
      </c>
      <c r="H74" s="278"/>
      <c r="I74" s="278" t="s">
        <v>7</v>
      </c>
      <c r="J74" s="278"/>
      <c r="K74" s="278"/>
      <c r="L74" s="278" t="s">
        <v>8</v>
      </c>
      <c r="M74" s="278" t="s">
        <v>9</v>
      </c>
      <c r="N74" s="278" t="s">
        <v>10</v>
      </c>
      <c r="O74" s="278" t="s">
        <v>63</v>
      </c>
      <c r="P74" s="338" t="s">
        <v>12</v>
      </c>
    </row>
    <row r="75" spans="1:16" x14ac:dyDescent="0.25">
      <c r="A75" s="278"/>
      <c r="B75" s="278"/>
      <c r="C75" s="278"/>
      <c r="D75" s="278"/>
      <c r="E75" s="278"/>
      <c r="F75" s="278"/>
      <c r="G75" s="278" t="s">
        <v>13</v>
      </c>
      <c r="H75" s="278" t="s">
        <v>14</v>
      </c>
      <c r="I75" s="278" t="s">
        <v>15</v>
      </c>
      <c r="J75" s="278" t="s">
        <v>16</v>
      </c>
      <c r="K75" s="278" t="s">
        <v>17</v>
      </c>
      <c r="L75" s="278"/>
      <c r="M75" s="278"/>
      <c r="N75" s="278"/>
      <c r="O75" s="278"/>
      <c r="P75" s="338"/>
    </row>
    <row r="76" spans="1:16" x14ac:dyDescent="0.25">
      <c r="A76" s="278"/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8"/>
      <c r="P76" s="338"/>
    </row>
    <row r="77" spans="1:16" ht="15.75" x14ac:dyDescent="0.25">
      <c r="A77" s="255" t="s">
        <v>18</v>
      </c>
      <c r="B77" s="255" t="s">
        <v>19</v>
      </c>
      <c r="C77" s="255"/>
      <c r="D77" s="255" t="s">
        <v>20</v>
      </c>
      <c r="E77" s="255" t="s">
        <v>21</v>
      </c>
      <c r="F77" s="255" t="s">
        <v>22</v>
      </c>
      <c r="G77" s="255" t="s">
        <v>23</v>
      </c>
      <c r="H77" s="255" t="s">
        <v>23</v>
      </c>
      <c r="I77" s="255" t="s">
        <v>24</v>
      </c>
      <c r="J77" s="255" t="s">
        <v>22</v>
      </c>
      <c r="K77" s="255" t="s">
        <v>24</v>
      </c>
      <c r="L77" s="255" t="s">
        <v>25</v>
      </c>
      <c r="M77" s="255" t="s">
        <v>25</v>
      </c>
      <c r="N77" s="255" t="s">
        <v>26</v>
      </c>
      <c r="O77" s="255" t="s">
        <v>27</v>
      </c>
      <c r="P77" s="255" t="s">
        <v>28</v>
      </c>
    </row>
    <row r="78" spans="1:16" ht="31.5" x14ac:dyDescent="0.25">
      <c r="A78" s="255">
        <v>300</v>
      </c>
      <c r="B78" s="12" t="s">
        <v>42</v>
      </c>
      <c r="C78" s="12" t="s">
        <v>29</v>
      </c>
      <c r="D78" s="255" t="s">
        <v>30</v>
      </c>
      <c r="E78" s="255">
        <v>1.4</v>
      </c>
      <c r="F78" s="255">
        <v>73</v>
      </c>
      <c r="G78" s="16">
        <f>H78*100/F78</f>
        <v>191.78082191780823</v>
      </c>
      <c r="H78" s="255">
        <v>140</v>
      </c>
      <c r="I78" s="17">
        <f>1/(H78/(10*F78))</f>
        <v>5.2142857142857144</v>
      </c>
      <c r="J78" s="255">
        <v>30</v>
      </c>
      <c r="K78" s="17">
        <f>I78-(I78/100*J78)</f>
        <v>3.6500000000000004</v>
      </c>
      <c r="L78" s="8">
        <v>500</v>
      </c>
      <c r="M78" s="8">
        <f>E78*L78</f>
        <v>700</v>
      </c>
      <c r="N78" s="9">
        <f>A78/K78</f>
        <v>82.191780821917803</v>
      </c>
      <c r="O78" s="8">
        <f>E78*N78</f>
        <v>115.06849315068492</v>
      </c>
      <c r="P78" s="18">
        <f>O78*L78</f>
        <v>57534.246575342455</v>
      </c>
    </row>
    <row r="79" spans="1:16" ht="31.5" x14ac:dyDescent="0.25">
      <c r="A79" s="255">
        <v>300</v>
      </c>
      <c r="B79" s="12" t="s">
        <v>43</v>
      </c>
      <c r="C79" s="12" t="s">
        <v>32</v>
      </c>
      <c r="D79" s="19">
        <v>7035</v>
      </c>
      <c r="E79" s="255">
        <v>1.3</v>
      </c>
      <c r="F79" s="255">
        <v>58</v>
      </c>
      <c r="G79" s="16">
        <f>H79*100/F79</f>
        <v>103.44827586206897</v>
      </c>
      <c r="H79" s="255">
        <v>60</v>
      </c>
      <c r="I79" s="17">
        <f>1/(H79/(10*F79))</f>
        <v>9.6666666666666661</v>
      </c>
      <c r="J79" s="255">
        <v>30</v>
      </c>
      <c r="K79" s="17">
        <f>I79-(I79/100*J79)</f>
        <v>6.7666666666666657</v>
      </c>
      <c r="L79" s="8">
        <v>610</v>
      </c>
      <c r="M79" s="8">
        <f>E79*L79</f>
        <v>793</v>
      </c>
      <c r="N79" s="9">
        <f>A79/K79</f>
        <v>44.334975369458135</v>
      </c>
      <c r="O79" s="9">
        <f>E79*N79</f>
        <v>57.63546798029558</v>
      </c>
      <c r="P79" s="18">
        <f>O79*L79</f>
        <v>35157.635467980304</v>
      </c>
    </row>
    <row r="80" spans="1:16" ht="15.75" x14ac:dyDescent="0.25">
      <c r="A80" s="335" t="s">
        <v>33</v>
      </c>
      <c r="B80" s="335"/>
      <c r="C80" s="335"/>
      <c r="D80" s="335"/>
      <c r="E80" s="255">
        <v>0.9</v>
      </c>
      <c r="F80" s="335">
        <v>5</v>
      </c>
      <c r="G80" s="335"/>
      <c r="H80" s="335"/>
      <c r="I80" s="335"/>
      <c r="J80" s="255"/>
      <c r="K80" s="255"/>
      <c r="L80" s="12">
        <v>500</v>
      </c>
      <c r="M80" s="12"/>
      <c r="N80" s="13">
        <f>N78*(F80/100)</f>
        <v>4.10958904109589</v>
      </c>
      <c r="O80" s="9">
        <f>E80*N80</f>
        <v>3.6986301369863011</v>
      </c>
      <c r="P80" s="18">
        <f>N80*L80</f>
        <v>2054.794520547945</v>
      </c>
    </row>
    <row r="81" spans="1:16" ht="15.75" x14ac:dyDescent="0.25">
      <c r="A81" s="335" t="s">
        <v>33</v>
      </c>
      <c r="B81" s="335"/>
      <c r="C81" s="335"/>
      <c r="D81" s="335"/>
      <c r="E81" s="255">
        <v>0.9</v>
      </c>
      <c r="F81" s="335">
        <v>5</v>
      </c>
      <c r="G81" s="335"/>
      <c r="H81" s="335"/>
      <c r="I81" s="335"/>
      <c r="J81" s="255"/>
      <c r="K81" s="255"/>
      <c r="L81" s="12">
        <v>500</v>
      </c>
      <c r="M81" s="12"/>
      <c r="N81" s="13">
        <f>N79*(F81/100)</f>
        <v>2.216748768472907</v>
      </c>
      <c r="O81" s="9">
        <f>E81*N81</f>
        <v>1.9950738916256163</v>
      </c>
      <c r="P81" s="18">
        <f>N81*L81</f>
        <v>1108.3743842364536</v>
      </c>
    </row>
    <row r="82" spans="1:16" ht="15.75" x14ac:dyDescent="0.25">
      <c r="A82" s="255"/>
      <c r="B82" s="335" t="s">
        <v>35</v>
      </c>
      <c r="C82" s="335"/>
      <c r="D82" s="335"/>
      <c r="E82" s="335"/>
      <c r="F82" s="335"/>
      <c r="G82" s="335"/>
      <c r="H82" s="255">
        <f>SUM(H78:H79)</f>
        <v>200</v>
      </c>
      <c r="I82" s="335"/>
      <c r="J82" s="335"/>
      <c r="K82" s="335"/>
      <c r="L82" s="335"/>
      <c r="M82" s="335"/>
      <c r="N82" s="335"/>
      <c r="O82" s="335"/>
      <c r="P82" s="18">
        <f>SUM(P78:P81)</f>
        <v>95855.050948107149</v>
      </c>
    </row>
    <row r="88" spans="1:16" x14ac:dyDescent="0.25">
      <c r="A88" s="446" t="s">
        <v>426</v>
      </c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8"/>
    </row>
    <row r="89" spans="1:16" ht="15.75" x14ac:dyDescent="0.25">
      <c r="A89" s="278" t="s">
        <v>0</v>
      </c>
      <c r="B89" s="278" t="s">
        <v>1</v>
      </c>
      <c r="C89" s="278" t="s">
        <v>2</v>
      </c>
      <c r="D89" s="278" t="s">
        <v>3</v>
      </c>
      <c r="E89" s="278" t="s">
        <v>4</v>
      </c>
      <c r="F89" s="278" t="s">
        <v>5</v>
      </c>
      <c r="G89" s="278" t="s">
        <v>6</v>
      </c>
      <c r="H89" s="278"/>
      <c r="I89" s="278" t="s">
        <v>7</v>
      </c>
      <c r="J89" s="278"/>
      <c r="K89" s="278"/>
      <c r="L89" s="278" t="s">
        <v>8</v>
      </c>
      <c r="M89" s="278" t="s">
        <v>9</v>
      </c>
      <c r="N89" s="278" t="s">
        <v>10</v>
      </c>
      <c r="O89" s="278" t="s">
        <v>11</v>
      </c>
      <c r="P89" s="338" t="s">
        <v>12</v>
      </c>
    </row>
    <row r="90" spans="1:16" x14ac:dyDescent="0.25">
      <c r="A90" s="278"/>
      <c r="B90" s="278"/>
      <c r="C90" s="278"/>
      <c r="D90" s="278"/>
      <c r="E90" s="278"/>
      <c r="F90" s="278"/>
      <c r="G90" s="278" t="s">
        <v>13</v>
      </c>
      <c r="H90" s="278" t="s">
        <v>14</v>
      </c>
      <c r="I90" s="278" t="s">
        <v>15</v>
      </c>
      <c r="J90" s="278" t="s">
        <v>16</v>
      </c>
      <c r="K90" s="278" t="s">
        <v>17</v>
      </c>
      <c r="L90" s="278"/>
      <c r="M90" s="278"/>
      <c r="N90" s="278"/>
      <c r="O90" s="278"/>
      <c r="P90" s="338"/>
    </row>
    <row r="91" spans="1:16" x14ac:dyDescent="0.25">
      <c r="A91" s="278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8"/>
      <c r="O91" s="278"/>
      <c r="P91" s="338"/>
    </row>
    <row r="92" spans="1:16" ht="15.75" x14ac:dyDescent="0.25">
      <c r="A92" s="255" t="s">
        <v>18</v>
      </c>
      <c r="B92" s="255" t="s">
        <v>19</v>
      </c>
      <c r="C92" s="255"/>
      <c r="D92" s="255" t="s">
        <v>20</v>
      </c>
      <c r="E92" s="255" t="s">
        <v>21</v>
      </c>
      <c r="F92" s="255" t="s">
        <v>22</v>
      </c>
      <c r="G92" s="255" t="s">
        <v>23</v>
      </c>
      <c r="H92" s="255" t="s">
        <v>23</v>
      </c>
      <c r="I92" s="255" t="s">
        <v>24</v>
      </c>
      <c r="J92" s="255" t="s">
        <v>22</v>
      </c>
      <c r="K92" s="255" t="s">
        <v>24</v>
      </c>
      <c r="L92" s="255" t="s">
        <v>25</v>
      </c>
      <c r="M92" s="255" t="s">
        <v>25</v>
      </c>
      <c r="N92" s="255" t="s">
        <v>26</v>
      </c>
      <c r="O92" s="255" t="s">
        <v>27</v>
      </c>
      <c r="P92" s="255" t="s">
        <v>28</v>
      </c>
    </row>
    <row r="93" spans="1:16" ht="31.5" x14ac:dyDescent="0.25">
      <c r="A93" s="255">
        <v>1</v>
      </c>
      <c r="B93" s="12" t="s">
        <v>176</v>
      </c>
      <c r="C93" s="12" t="s">
        <v>29</v>
      </c>
      <c r="D93" s="255" t="s">
        <v>30</v>
      </c>
      <c r="E93" s="255">
        <v>1.5</v>
      </c>
      <c r="F93" s="255">
        <v>85</v>
      </c>
      <c r="G93" s="16">
        <f>H93*100/F93</f>
        <v>164.70588235294119</v>
      </c>
      <c r="H93" s="255">
        <v>140</v>
      </c>
      <c r="I93" s="17">
        <f>1/(H93/(10*F93))</f>
        <v>6.0714285714285712</v>
      </c>
      <c r="J93" s="255">
        <v>0</v>
      </c>
      <c r="K93" s="17">
        <f>I93-(I93/100*J93)</f>
        <v>6.0714285714285712</v>
      </c>
      <c r="L93" s="8">
        <v>573</v>
      </c>
      <c r="M93" s="8">
        <f>E93*L93</f>
        <v>859.5</v>
      </c>
      <c r="N93" s="9">
        <f>A93/K93</f>
        <v>0.16470588235294117</v>
      </c>
      <c r="O93" s="9">
        <f>E93*N93</f>
        <v>0.24705882352941178</v>
      </c>
      <c r="P93" s="18">
        <f>O93*L93</f>
        <v>141.56470588235294</v>
      </c>
    </row>
    <row r="94" spans="1:16" ht="31.5" x14ac:dyDescent="0.25">
      <c r="A94" s="255">
        <v>1</v>
      </c>
      <c r="B94" s="12" t="s">
        <v>43</v>
      </c>
      <c r="C94" s="12" t="s">
        <v>32</v>
      </c>
      <c r="D94" s="255">
        <v>7040</v>
      </c>
      <c r="E94" s="255">
        <v>1.3</v>
      </c>
      <c r="F94" s="255">
        <v>58</v>
      </c>
      <c r="G94" s="16">
        <f>H94*100/F94</f>
        <v>103.44827586206897</v>
      </c>
      <c r="H94" s="255">
        <v>60</v>
      </c>
      <c r="I94" s="17">
        <f>1/(H94/(10*F94))</f>
        <v>9.6666666666666661</v>
      </c>
      <c r="J94" s="255">
        <v>0</v>
      </c>
      <c r="K94" s="17">
        <f>I94-(I94/100*J94)</f>
        <v>9.6666666666666661</v>
      </c>
      <c r="L94" s="8">
        <v>758</v>
      </c>
      <c r="M94" s="8">
        <f>E94*L94</f>
        <v>985.4</v>
      </c>
      <c r="N94" s="9">
        <f>A94/K94</f>
        <v>0.10344827586206898</v>
      </c>
      <c r="O94" s="9">
        <f>E94*N94</f>
        <v>0.13448275862068967</v>
      </c>
      <c r="P94" s="18">
        <f>O94*L94</f>
        <v>101.93793103448277</v>
      </c>
    </row>
    <row r="95" spans="1:16" ht="15.75" hidden="1" x14ac:dyDescent="0.25">
      <c r="A95" s="335" t="s">
        <v>33</v>
      </c>
      <c r="B95" s="335"/>
      <c r="C95" s="335"/>
      <c r="D95" s="335"/>
      <c r="E95" s="255">
        <v>0.9</v>
      </c>
      <c r="F95" s="335">
        <v>10</v>
      </c>
      <c r="G95" s="335"/>
      <c r="H95" s="335"/>
      <c r="I95" s="335"/>
      <c r="J95" s="255"/>
      <c r="K95" s="255"/>
      <c r="L95" s="12">
        <v>0</v>
      </c>
      <c r="M95" s="12"/>
      <c r="N95" s="13">
        <f>N93*(F95/100)</f>
        <v>1.6470588235294119E-2</v>
      </c>
      <c r="O95" s="9">
        <f>E95*N95</f>
        <v>1.4823529411764708E-2</v>
      </c>
      <c r="P95" s="18">
        <f>N95*L95</f>
        <v>0</v>
      </c>
    </row>
    <row r="96" spans="1:16" ht="15.75" hidden="1" x14ac:dyDescent="0.25">
      <c r="A96" s="335" t="s">
        <v>33</v>
      </c>
      <c r="B96" s="335"/>
      <c r="C96" s="335"/>
      <c r="D96" s="335"/>
      <c r="E96" s="255">
        <v>0.9</v>
      </c>
      <c r="F96" s="335">
        <v>10</v>
      </c>
      <c r="G96" s="335"/>
      <c r="H96" s="335"/>
      <c r="I96" s="335"/>
      <c r="J96" s="255"/>
      <c r="K96" s="255"/>
      <c r="L96" s="12">
        <v>0</v>
      </c>
      <c r="M96" s="12"/>
      <c r="N96" s="13">
        <f>N94*(F96/100)</f>
        <v>1.0344827586206898E-2</v>
      </c>
      <c r="O96" s="9">
        <f>E96*N96</f>
        <v>9.3103448275862078E-3</v>
      </c>
      <c r="P96" s="18">
        <f>N96*L96</f>
        <v>0</v>
      </c>
    </row>
    <row r="97" spans="1:16" ht="15.75" x14ac:dyDescent="0.25">
      <c r="A97" s="255"/>
      <c r="B97" s="335" t="s">
        <v>35</v>
      </c>
      <c r="C97" s="335"/>
      <c r="D97" s="335"/>
      <c r="E97" s="335"/>
      <c r="F97" s="335"/>
      <c r="G97" s="335"/>
      <c r="H97" s="255">
        <f>SUM(H93:H94)</f>
        <v>200</v>
      </c>
      <c r="I97" s="335"/>
      <c r="J97" s="335"/>
      <c r="K97" s="335"/>
      <c r="L97" s="335"/>
      <c r="M97" s="335"/>
      <c r="N97" s="335"/>
      <c r="O97" s="335"/>
      <c r="P97" s="18">
        <f>SUM(P93:P96)</f>
        <v>243.50263691683571</v>
      </c>
    </row>
    <row r="100" spans="1:16" x14ac:dyDescent="0.25">
      <c r="A100" s="446" t="s">
        <v>426</v>
      </c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8"/>
    </row>
    <row r="101" spans="1:16" ht="15.75" x14ac:dyDescent="0.25">
      <c r="A101" s="278" t="s">
        <v>0</v>
      </c>
      <c r="B101" s="278" t="s">
        <v>1</v>
      </c>
      <c r="C101" s="278" t="s">
        <v>2</v>
      </c>
      <c r="D101" s="278" t="s">
        <v>3</v>
      </c>
      <c r="E101" s="278" t="s">
        <v>4</v>
      </c>
      <c r="F101" s="278" t="s">
        <v>5</v>
      </c>
      <c r="G101" s="278" t="s">
        <v>6</v>
      </c>
      <c r="H101" s="278"/>
      <c r="I101" s="278" t="s">
        <v>7</v>
      </c>
      <c r="J101" s="278"/>
      <c r="K101" s="278"/>
      <c r="L101" s="278" t="s">
        <v>8</v>
      </c>
      <c r="M101" s="278" t="s">
        <v>9</v>
      </c>
      <c r="N101" s="278" t="s">
        <v>10</v>
      </c>
      <c r="O101" s="278" t="s">
        <v>11</v>
      </c>
      <c r="P101" s="338" t="s">
        <v>12</v>
      </c>
    </row>
    <row r="102" spans="1:16" x14ac:dyDescent="0.25">
      <c r="A102" s="278"/>
      <c r="B102" s="278"/>
      <c r="C102" s="278"/>
      <c r="D102" s="278"/>
      <c r="E102" s="278"/>
      <c r="F102" s="278"/>
      <c r="G102" s="278" t="s">
        <v>13</v>
      </c>
      <c r="H102" s="278" t="s">
        <v>14</v>
      </c>
      <c r="I102" s="278" t="s">
        <v>15</v>
      </c>
      <c r="J102" s="278" t="s">
        <v>16</v>
      </c>
      <c r="K102" s="278" t="s">
        <v>17</v>
      </c>
      <c r="L102" s="278"/>
      <c r="M102" s="278"/>
      <c r="N102" s="278"/>
      <c r="O102" s="278"/>
      <c r="P102" s="338"/>
    </row>
    <row r="103" spans="1:16" x14ac:dyDescent="0.25">
      <c r="A103" s="278"/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8"/>
      <c r="O103" s="278"/>
      <c r="P103" s="338"/>
    </row>
    <row r="104" spans="1:16" ht="15.75" x14ac:dyDescent="0.25">
      <c r="A104" s="255" t="s">
        <v>18</v>
      </c>
      <c r="B104" s="255" t="s">
        <v>19</v>
      </c>
      <c r="C104" s="255"/>
      <c r="D104" s="255" t="s">
        <v>20</v>
      </c>
      <c r="E104" s="255" t="s">
        <v>21</v>
      </c>
      <c r="F104" s="255" t="s">
        <v>22</v>
      </c>
      <c r="G104" s="255" t="s">
        <v>23</v>
      </c>
      <c r="H104" s="255" t="s">
        <v>23</v>
      </c>
      <c r="I104" s="255" t="s">
        <v>24</v>
      </c>
      <c r="J104" s="255" t="s">
        <v>22</v>
      </c>
      <c r="K104" s="255" t="s">
        <v>24</v>
      </c>
      <c r="L104" s="255" t="s">
        <v>25</v>
      </c>
      <c r="M104" s="255" t="s">
        <v>25</v>
      </c>
      <c r="N104" s="255" t="s">
        <v>26</v>
      </c>
      <c r="O104" s="255" t="s">
        <v>27</v>
      </c>
      <c r="P104" s="255" t="s">
        <v>28</v>
      </c>
    </row>
    <row r="105" spans="1:16" ht="56.25" customHeight="1" x14ac:dyDescent="0.25">
      <c r="A105" s="255">
        <v>1</v>
      </c>
      <c r="B105" s="12" t="s">
        <v>42</v>
      </c>
      <c r="C105" s="12" t="s">
        <v>29</v>
      </c>
      <c r="D105" s="255" t="s">
        <v>30</v>
      </c>
      <c r="E105" s="255">
        <v>1.4</v>
      </c>
      <c r="F105" s="255">
        <v>73</v>
      </c>
      <c r="G105" s="16">
        <f>H105*100/F105</f>
        <v>150.68493150684932</v>
      </c>
      <c r="H105" s="255">
        <v>110</v>
      </c>
      <c r="I105" s="17">
        <f>1/(H105/(10*F105))</f>
        <v>6.6363636363636367</v>
      </c>
      <c r="J105" s="255">
        <v>0</v>
      </c>
      <c r="K105" s="17">
        <f>I105-(I105/100*J105)</f>
        <v>6.6363636363636367</v>
      </c>
      <c r="L105" s="8">
        <v>573</v>
      </c>
      <c r="M105" s="8">
        <f>E105*L105</f>
        <v>802.19999999999993</v>
      </c>
      <c r="N105" s="9">
        <f>A105/K105</f>
        <v>0.15068493150684931</v>
      </c>
      <c r="O105" s="9">
        <f>E105*N105</f>
        <v>0.21095890410958901</v>
      </c>
      <c r="P105" s="18">
        <f>O105*L105</f>
        <v>120.8794520547945</v>
      </c>
    </row>
    <row r="106" spans="1:16" ht="33" customHeight="1" x14ac:dyDescent="0.25">
      <c r="A106" s="255">
        <v>1</v>
      </c>
      <c r="B106" s="12" t="s">
        <v>43</v>
      </c>
      <c r="C106" s="12" t="s">
        <v>32</v>
      </c>
      <c r="D106" s="255">
        <v>7040</v>
      </c>
      <c r="E106" s="255">
        <v>1.3</v>
      </c>
      <c r="F106" s="255">
        <v>58</v>
      </c>
      <c r="G106" s="16">
        <f>H106*100/F106</f>
        <v>86.206896551724142</v>
      </c>
      <c r="H106" s="255">
        <v>50</v>
      </c>
      <c r="I106" s="17">
        <f>1/(H106/(10*F106))</f>
        <v>11.6</v>
      </c>
      <c r="J106" s="255">
        <v>0</v>
      </c>
      <c r="K106" s="17">
        <f>I106-(I106/100*J106)</f>
        <v>11.6</v>
      </c>
      <c r="L106" s="8">
        <v>758</v>
      </c>
      <c r="M106" s="8">
        <f>E106*L106</f>
        <v>985.4</v>
      </c>
      <c r="N106" s="9">
        <f>A106/K106</f>
        <v>8.6206896551724144E-2</v>
      </c>
      <c r="O106" s="9">
        <f>E106*N106</f>
        <v>0.1120689655172414</v>
      </c>
      <c r="P106" s="18">
        <f>O106*L106</f>
        <v>84.948275862068982</v>
      </c>
    </row>
    <row r="107" spans="1:16" ht="15.75" hidden="1" x14ac:dyDescent="0.25">
      <c r="A107" s="335" t="s">
        <v>33</v>
      </c>
      <c r="B107" s="335"/>
      <c r="C107" s="335"/>
      <c r="D107" s="335"/>
      <c r="E107" s="255">
        <v>0.9</v>
      </c>
      <c r="F107" s="335">
        <v>10</v>
      </c>
      <c r="G107" s="335"/>
      <c r="H107" s="335"/>
      <c r="I107" s="335"/>
      <c r="J107" s="255"/>
      <c r="K107" s="255"/>
      <c r="L107" s="12">
        <v>0</v>
      </c>
      <c r="M107" s="12"/>
      <c r="N107" s="13">
        <f>N105*(F107/100)</f>
        <v>1.5068493150684932E-2</v>
      </c>
      <c r="O107" s="9">
        <f>E107*N107</f>
        <v>1.3561643835616439E-2</v>
      </c>
      <c r="P107" s="18">
        <f>N107*L107</f>
        <v>0</v>
      </c>
    </row>
    <row r="108" spans="1:16" ht="15.75" hidden="1" x14ac:dyDescent="0.25">
      <c r="A108" s="335" t="s">
        <v>33</v>
      </c>
      <c r="B108" s="335"/>
      <c r="C108" s="335"/>
      <c r="D108" s="335"/>
      <c r="E108" s="255">
        <v>0.9</v>
      </c>
      <c r="F108" s="335">
        <v>10</v>
      </c>
      <c r="G108" s="335"/>
      <c r="H108" s="335"/>
      <c r="I108" s="335"/>
      <c r="J108" s="255"/>
      <c r="K108" s="255"/>
      <c r="L108" s="12">
        <v>0</v>
      </c>
      <c r="M108" s="12"/>
      <c r="N108" s="13">
        <f>N106*(F108/100)</f>
        <v>8.6206896551724154E-3</v>
      </c>
      <c r="O108" s="9">
        <f>E108*N108</f>
        <v>7.758620689655174E-3</v>
      </c>
      <c r="P108" s="18">
        <f>N108*L108</f>
        <v>0</v>
      </c>
    </row>
    <row r="109" spans="1:16" ht="15.75" x14ac:dyDescent="0.25">
      <c r="A109" s="255"/>
      <c r="B109" s="335" t="s">
        <v>35</v>
      </c>
      <c r="C109" s="335"/>
      <c r="D109" s="335"/>
      <c r="E109" s="335"/>
      <c r="F109" s="335"/>
      <c r="G109" s="335"/>
      <c r="H109" s="255">
        <f>SUM(H105:H106)</f>
        <v>160</v>
      </c>
      <c r="I109" s="335"/>
      <c r="J109" s="335"/>
      <c r="K109" s="335"/>
      <c r="L109" s="335"/>
      <c r="M109" s="335"/>
      <c r="N109" s="335"/>
      <c r="O109" s="335"/>
      <c r="P109" s="18">
        <f>SUM(P105:P108)</f>
        <v>205.82772791686347</v>
      </c>
    </row>
  </sheetData>
  <mergeCells count="223">
    <mergeCell ref="A1:P1"/>
    <mergeCell ref="A2:A4"/>
    <mergeCell ref="B2:B4"/>
    <mergeCell ref="C2:C4"/>
    <mergeCell ref="D2:D4"/>
    <mergeCell ref="E2:E4"/>
    <mergeCell ref="F2:F4"/>
    <mergeCell ref="G2:H2"/>
    <mergeCell ref="I2:K2"/>
    <mergeCell ref="L2:L4"/>
    <mergeCell ref="M2:M4"/>
    <mergeCell ref="N2:N4"/>
    <mergeCell ref="O2:O4"/>
    <mergeCell ref="P2:P4"/>
    <mergeCell ref="G3:G4"/>
    <mergeCell ref="H3:H4"/>
    <mergeCell ref="I3:I4"/>
    <mergeCell ref="J3:J4"/>
    <mergeCell ref="K3:K4"/>
    <mergeCell ref="A8:D8"/>
    <mergeCell ref="F8:I8"/>
    <mergeCell ref="A9:D9"/>
    <mergeCell ref="F9:I9"/>
    <mergeCell ref="B10:G10"/>
    <mergeCell ref="I10:O10"/>
    <mergeCell ref="A13:P13"/>
    <mergeCell ref="A14:A16"/>
    <mergeCell ref="B14:B16"/>
    <mergeCell ref="C14:C16"/>
    <mergeCell ref="D14:D16"/>
    <mergeCell ref="E14:E16"/>
    <mergeCell ref="F14:F16"/>
    <mergeCell ref="G14:H14"/>
    <mergeCell ref="I14:K14"/>
    <mergeCell ref="L14:L16"/>
    <mergeCell ref="M14:M16"/>
    <mergeCell ref="N14:N16"/>
    <mergeCell ref="O14:O16"/>
    <mergeCell ref="P14:P16"/>
    <mergeCell ref="G15:G16"/>
    <mergeCell ref="H15:H16"/>
    <mergeCell ref="I15:I16"/>
    <mergeCell ref="J15:J16"/>
    <mergeCell ref="K15:K16"/>
    <mergeCell ref="A20:D20"/>
    <mergeCell ref="F20:I20"/>
    <mergeCell ref="A21:D21"/>
    <mergeCell ref="F21:I21"/>
    <mergeCell ref="B22:G22"/>
    <mergeCell ref="I22:O22"/>
    <mergeCell ref="A25:P25"/>
    <mergeCell ref="A26:A28"/>
    <mergeCell ref="B26:B28"/>
    <mergeCell ref="C26:C28"/>
    <mergeCell ref="D26:D28"/>
    <mergeCell ref="E26:E28"/>
    <mergeCell ref="F26:F28"/>
    <mergeCell ref="G26:H26"/>
    <mergeCell ref="I26:K26"/>
    <mergeCell ref="L26:L28"/>
    <mergeCell ref="M26:M28"/>
    <mergeCell ref="N26:N28"/>
    <mergeCell ref="O26:O28"/>
    <mergeCell ref="P26:P28"/>
    <mergeCell ref="G27:G28"/>
    <mergeCell ref="H27:H28"/>
    <mergeCell ref="I27:I28"/>
    <mergeCell ref="J27:J28"/>
    <mergeCell ref="K27:K28"/>
    <mergeCell ref="A32:D32"/>
    <mergeCell ref="F32:I32"/>
    <mergeCell ref="A33:D33"/>
    <mergeCell ref="F33:I33"/>
    <mergeCell ref="B34:G34"/>
    <mergeCell ref="I34:O34"/>
    <mergeCell ref="A37:P37"/>
    <mergeCell ref="A38:A40"/>
    <mergeCell ref="B38:B40"/>
    <mergeCell ref="C38:C40"/>
    <mergeCell ref="D38:D40"/>
    <mergeCell ref="E38:E40"/>
    <mergeCell ref="F38:F40"/>
    <mergeCell ref="G38:H38"/>
    <mergeCell ref="I38:K38"/>
    <mergeCell ref="L38:L40"/>
    <mergeCell ref="G50:G51"/>
    <mergeCell ref="H50:H51"/>
    <mergeCell ref="I50:I51"/>
    <mergeCell ref="J50:J51"/>
    <mergeCell ref="M38:M40"/>
    <mergeCell ref="N38:N40"/>
    <mergeCell ref="O38:O40"/>
    <mergeCell ref="P38:P40"/>
    <mergeCell ref="G39:G40"/>
    <mergeCell ref="H39:H40"/>
    <mergeCell ref="I39:I40"/>
    <mergeCell ref="J39:J40"/>
    <mergeCell ref="K39:K40"/>
    <mergeCell ref="K50:K51"/>
    <mergeCell ref="A54:D54"/>
    <mergeCell ref="F54:I54"/>
    <mergeCell ref="B55:G55"/>
    <mergeCell ref="I55:O55"/>
    <mergeCell ref="A44:D44"/>
    <mergeCell ref="F44:I44"/>
    <mergeCell ref="A45:D45"/>
    <mergeCell ref="F45:I45"/>
    <mergeCell ref="B46:G46"/>
    <mergeCell ref="I46:O46"/>
    <mergeCell ref="A48:P48"/>
    <mergeCell ref="A49:A51"/>
    <mergeCell ref="B49:B51"/>
    <mergeCell ref="C49:C51"/>
    <mergeCell ref="D49:D51"/>
    <mergeCell ref="E49:E51"/>
    <mergeCell ref="F49:F51"/>
    <mergeCell ref="G49:H49"/>
    <mergeCell ref="I49:K49"/>
    <mergeCell ref="L49:L51"/>
    <mergeCell ref="M49:M51"/>
    <mergeCell ref="N49:N51"/>
    <mergeCell ref="O49:O51"/>
    <mergeCell ref="P49:P51"/>
    <mergeCell ref="A60:P60"/>
    <mergeCell ref="A61:A63"/>
    <mergeCell ref="B61:B63"/>
    <mergeCell ref="C61:C63"/>
    <mergeCell ref="D61:D63"/>
    <mergeCell ref="E61:E63"/>
    <mergeCell ref="F61:F63"/>
    <mergeCell ref="G61:H61"/>
    <mergeCell ref="I61:K61"/>
    <mergeCell ref="L61:L63"/>
    <mergeCell ref="M61:M63"/>
    <mergeCell ref="N61:N63"/>
    <mergeCell ref="O61:O63"/>
    <mergeCell ref="P61:P63"/>
    <mergeCell ref="G62:G63"/>
    <mergeCell ref="H62:H63"/>
    <mergeCell ref="I62:I63"/>
    <mergeCell ref="J62:J63"/>
    <mergeCell ref="K62:K63"/>
    <mergeCell ref="A67:D67"/>
    <mergeCell ref="F67:I67"/>
    <mergeCell ref="A68:D68"/>
    <mergeCell ref="F68:I68"/>
    <mergeCell ref="B69:G69"/>
    <mergeCell ref="I69:O69"/>
    <mergeCell ref="A73:P73"/>
    <mergeCell ref="A74:A76"/>
    <mergeCell ref="B74:B76"/>
    <mergeCell ref="C74:C76"/>
    <mergeCell ref="D74:D76"/>
    <mergeCell ref="E74:E76"/>
    <mergeCell ref="F74:F76"/>
    <mergeCell ref="G74:H74"/>
    <mergeCell ref="I74:K74"/>
    <mergeCell ref="L74:L76"/>
    <mergeCell ref="M74:M76"/>
    <mergeCell ref="N74:N76"/>
    <mergeCell ref="O74:O76"/>
    <mergeCell ref="P74:P76"/>
    <mergeCell ref="G75:G76"/>
    <mergeCell ref="H75:H76"/>
    <mergeCell ref="I75:I76"/>
    <mergeCell ref="J75:J76"/>
    <mergeCell ref="J90:J91"/>
    <mergeCell ref="K90:K91"/>
    <mergeCell ref="K75:K76"/>
    <mergeCell ref="A80:D80"/>
    <mergeCell ref="F80:I80"/>
    <mergeCell ref="A81:D81"/>
    <mergeCell ref="F81:I81"/>
    <mergeCell ref="B82:G82"/>
    <mergeCell ref="I82:O82"/>
    <mergeCell ref="N101:N103"/>
    <mergeCell ref="O101:O103"/>
    <mergeCell ref="P101:P103"/>
    <mergeCell ref="G102:G103"/>
    <mergeCell ref="H102:H103"/>
    <mergeCell ref="I102:I103"/>
    <mergeCell ref="J102:J103"/>
    <mergeCell ref="A88:P88"/>
    <mergeCell ref="A89:A91"/>
    <mergeCell ref="B89:B91"/>
    <mergeCell ref="C89:C91"/>
    <mergeCell ref="D89:D91"/>
    <mergeCell ref="E89:E91"/>
    <mergeCell ref="F89:F91"/>
    <mergeCell ref="G89:H89"/>
    <mergeCell ref="I89:K89"/>
    <mergeCell ref="L89:L91"/>
    <mergeCell ref="M89:M91"/>
    <mergeCell ref="N89:N91"/>
    <mergeCell ref="O89:O91"/>
    <mergeCell ref="P89:P91"/>
    <mergeCell ref="G90:G91"/>
    <mergeCell ref="H90:H91"/>
    <mergeCell ref="I90:I91"/>
    <mergeCell ref="K102:K103"/>
    <mergeCell ref="A107:D107"/>
    <mergeCell ref="F107:I107"/>
    <mergeCell ref="A108:D108"/>
    <mergeCell ref="F108:I108"/>
    <mergeCell ref="B109:G109"/>
    <mergeCell ref="I109:O109"/>
    <mergeCell ref="A95:D95"/>
    <mergeCell ref="F95:I95"/>
    <mergeCell ref="A96:D96"/>
    <mergeCell ref="F96:I96"/>
    <mergeCell ref="B97:G97"/>
    <mergeCell ref="I97:O97"/>
    <mergeCell ref="A100:P100"/>
    <mergeCell ref="A101:A103"/>
    <mergeCell ref="B101:B103"/>
    <mergeCell ref="C101:C103"/>
    <mergeCell ref="D101:D103"/>
    <mergeCell ref="E101:E103"/>
    <mergeCell ref="F101:F103"/>
    <mergeCell ref="G101:H101"/>
    <mergeCell ref="I101:K101"/>
    <mergeCell ref="L101:L103"/>
    <mergeCell ref="M101:M103"/>
  </mergeCells>
  <pageMargins left="0.7" right="0.7" top="0.75" bottom="0.75" header="0.3" footer="0.3"/>
  <pageSetup paperSize="9" scale="60" firstPageNumber="4294967295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938F-AB69-4C92-9674-2B0E4F286B1F}">
  <sheetPr>
    <pageSetUpPr fitToPage="1"/>
  </sheetPr>
  <dimension ref="A1:G18"/>
  <sheetViews>
    <sheetView zoomScale="70" zoomScaleNormal="70" workbookViewId="0">
      <selection activeCell="E32" sqref="E32"/>
    </sheetView>
  </sheetViews>
  <sheetFormatPr defaultRowHeight="15" x14ac:dyDescent="0.25"/>
  <cols>
    <col min="1" max="1" width="21.5703125" style="64" customWidth="1"/>
    <col min="2" max="2" width="20" style="64" customWidth="1"/>
    <col min="3" max="3" width="26.42578125" style="64" customWidth="1"/>
    <col min="5" max="5" width="26.42578125" customWidth="1"/>
    <col min="7" max="7" width="31.140625" customWidth="1"/>
  </cols>
  <sheetData>
    <row r="1" spans="1:7" ht="29.45" customHeight="1" thickBot="1" x14ac:dyDescent="0.3">
      <c r="A1" s="450" t="s">
        <v>251</v>
      </c>
      <c r="B1" s="451"/>
      <c r="C1" s="452"/>
      <c r="E1" s="450" t="s">
        <v>252</v>
      </c>
      <c r="F1" s="451"/>
      <c r="G1" s="452"/>
    </row>
    <row r="2" spans="1:7" ht="24.6" customHeight="1" x14ac:dyDescent="0.25">
      <c r="A2" s="97" t="s">
        <v>240</v>
      </c>
      <c r="B2" s="453" t="s">
        <v>191</v>
      </c>
      <c r="C2" s="454"/>
      <c r="E2" s="97" t="s">
        <v>240</v>
      </c>
      <c r="F2" s="453" t="s">
        <v>191</v>
      </c>
      <c r="G2" s="454"/>
    </row>
    <row r="3" spans="1:7" ht="28.9" customHeight="1" x14ac:dyDescent="0.25">
      <c r="A3" s="98" t="s">
        <v>241</v>
      </c>
      <c r="B3" s="99" t="s">
        <v>65</v>
      </c>
      <c r="C3" s="100" t="s">
        <v>31</v>
      </c>
      <c r="E3" s="98" t="s">
        <v>241</v>
      </c>
      <c r="F3" s="459" t="s">
        <v>181</v>
      </c>
      <c r="G3" s="460"/>
    </row>
    <row r="4" spans="1:7" ht="43.15" customHeight="1" x14ac:dyDescent="0.25">
      <c r="A4" s="98" t="s">
        <v>242</v>
      </c>
      <c r="B4" s="99" t="s">
        <v>248</v>
      </c>
      <c r="C4" s="100" t="s">
        <v>249</v>
      </c>
      <c r="E4" s="98" t="s">
        <v>242</v>
      </c>
      <c r="F4" s="459" t="s">
        <v>253</v>
      </c>
      <c r="G4" s="460"/>
    </row>
    <row r="5" spans="1:7" x14ac:dyDescent="0.25">
      <c r="A5" s="98" t="s">
        <v>5</v>
      </c>
      <c r="B5" s="99">
        <v>74</v>
      </c>
      <c r="C5" s="100">
        <v>63</v>
      </c>
      <c r="E5" s="98" t="s">
        <v>5</v>
      </c>
      <c r="F5" s="461">
        <v>72</v>
      </c>
      <c r="G5" s="460"/>
    </row>
    <row r="6" spans="1:7" x14ac:dyDescent="0.25">
      <c r="A6" s="98" t="s">
        <v>243</v>
      </c>
      <c r="B6" s="99">
        <v>100</v>
      </c>
      <c r="C6" s="100">
        <v>60</v>
      </c>
      <c r="E6" s="98" t="s">
        <v>243</v>
      </c>
      <c r="F6" s="461">
        <v>300</v>
      </c>
      <c r="G6" s="460"/>
    </row>
    <row r="7" spans="1:7" ht="42.6" customHeight="1" x14ac:dyDescent="0.25">
      <c r="A7" s="98" t="s">
        <v>244</v>
      </c>
      <c r="B7" s="99">
        <v>1</v>
      </c>
      <c r="C7" s="100">
        <v>1</v>
      </c>
      <c r="E7" s="98" t="s">
        <v>244</v>
      </c>
      <c r="F7" s="461">
        <v>1</v>
      </c>
      <c r="G7" s="460"/>
    </row>
    <row r="8" spans="1:7" ht="69.599999999999994" customHeight="1" x14ac:dyDescent="0.25">
      <c r="A8" s="98" t="s">
        <v>245</v>
      </c>
      <c r="B8" s="101">
        <f>B6/B5/10*1.5</f>
        <v>0.20270270270270271</v>
      </c>
      <c r="C8" s="102">
        <f>C6/C5/10*1.4</f>
        <v>0.1333333333333333</v>
      </c>
      <c r="E8" s="98" t="s">
        <v>245</v>
      </c>
      <c r="F8" s="462">
        <f>F6/F5/10*1.4</f>
        <v>0.58333333333333337</v>
      </c>
      <c r="G8" s="463"/>
    </row>
    <row r="9" spans="1:7" x14ac:dyDescent="0.25">
      <c r="A9" s="98" t="s">
        <v>246</v>
      </c>
      <c r="B9" s="103">
        <f>910/1.5</f>
        <v>606.66666666666663</v>
      </c>
      <c r="C9" s="104">
        <f>1350/1.4</f>
        <v>964.28571428571433</v>
      </c>
      <c r="E9" s="98" t="s">
        <v>246</v>
      </c>
      <c r="F9" s="457">
        <f>1184/1.4</f>
        <v>845.71428571428578</v>
      </c>
      <c r="G9" s="458"/>
    </row>
    <row r="10" spans="1:7" ht="45" x14ac:dyDescent="0.25">
      <c r="A10" s="107" t="s">
        <v>254</v>
      </c>
      <c r="B10" s="103">
        <f>B8*0.05*420</f>
        <v>4.256756756756757</v>
      </c>
      <c r="C10" s="105">
        <f>C8*0.05*420</f>
        <v>2.7999999999999994</v>
      </c>
      <c r="E10" s="107" t="s">
        <v>254</v>
      </c>
      <c r="F10" s="457">
        <f>F8*0.05*420</f>
        <v>12.250000000000002</v>
      </c>
      <c r="G10" s="458"/>
    </row>
    <row r="11" spans="1:7" ht="45" x14ac:dyDescent="0.25">
      <c r="A11" s="98" t="s">
        <v>247</v>
      </c>
      <c r="B11" s="103">
        <f>B9*B8+B10</f>
        <v>127.22972972972973</v>
      </c>
      <c r="C11" s="105">
        <f>C9*C8+C10</f>
        <v>131.37142857142857</v>
      </c>
      <c r="E11" s="108" t="s">
        <v>250</v>
      </c>
      <c r="F11" s="464">
        <f>F9*F8+F10</f>
        <v>505.58333333333343</v>
      </c>
      <c r="G11" s="465"/>
    </row>
    <row r="12" spans="1:7" ht="30.75" thickBot="1" x14ac:dyDescent="0.3">
      <c r="A12" s="106" t="s">
        <v>250</v>
      </c>
      <c r="B12" s="455">
        <f>B11+C11</f>
        <v>258.60115830115831</v>
      </c>
      <c r="C12" s="456"/>
      <c r="E12" s="106" t="s">
        <v>250</v>
      </c>
      <c r="F12" s="455">
        <f>F11+G11</f>
        <v>505.58333333333343</v>
      </c>
      <c r="G12" s="456"/>
    </row>
    <row r="15" spans="1:7" ht="31.15" customHeight="1" x14ac:dyDescent="0.25"/>
    <row r="17" ht="24" customHeight="1" x14ac:dyDescent="0.25"/>
    <row r="18" ht="28.9" customHeight="1" x14ac:dyDescent="0.25"/>
  </sheetData>
  <mergeCells count="15">
    <mergeCell ref="E1:G1"/>
    <mergeCell ref="A1:C1"/>
    <mergeCell ref="B2:C2"/>
    <mergeCell ref="B12:C12"/>
    <mergeCell ref="F12:G12"/>
    <mergeCell ref="F10:G10"/>
    <mergeCell ref="F2:G2"/>
    <mergeCell ref="F3:G3"/>
    <mergeCell ref="F4:G4"/>
    <mergeCell ref="F5:G5"/>
    <mergeCell ref="F6:G6"/>
    <mergeCell ref="F7:G7"/>
    <mergeCell ref="F8:G8"/>
    <mergeCell ref="F9:G9"/>
    <mergeCell ref="F11:G11"/>
  </mergeCells>
  <pageMargins left="0.7" right="0.7" top="0.75" bottom="0.75" header="0.3" footer="0.3"/>
  <pageSetup paperSize="9" scale="91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C715-0357-4AE8-93B3-56F31E04AD0C}">
  <dimension ref="B1:D6"/>
  <sheetViews>
    <sheetView workbookViewId="0">
      <selection activeCell="B2" sqref="B2:D6"/>
    </sheetView>
  </sheetViews>
  <sheetFormatPr defaultRowHeight="15" x14ac:dyDescent="0.25"/>
  <cols>
    <col min="2" max="2" width="32.7109375" customWidth="1"/>
    <col min="3" max="3" width="29.7109375" customWidth="1"/>
    <col min="4" max="4" width="50" customWidth="1"/>
  </cols>
  <sheetData>
    <row r="1" spans="2:4" ht="15.75" thickBot="1" x14ac:dyDescent="0.3"/>
    <row r="2" spans="2:4" ht="30.75" thickBot="1" x14ac:dyDescent="0.3">
      <c r="B2" s="109" t="s">
        <v>255</v>
      </c>
      <c r="C2" s="110" t="s">
        <v>256</v>
      </c>
      <c r="D2" s="110" t="s">
        <v>257</v>
      </c>
    </row>
    <row r="3" spans="2:4" x14ac:dyDescent="0.25">
      <c r="B3" s="466" t="s">
        <v>259</v>
      </c>
      <c r="C3" s="466" t="s">
        <v>258</v>
      </c>
      <c r="D3" s="466" t="s">
        <v>260</v>
      </c>
    </row>
    <row r="4" spans="2:4" x14ac:dyDescent="0.25">
      <c r="B4" s="467"/>
      <c r="C4" s="467"/>
      <c r="D4" s="467"/>
    </row>
    <row r="5" spans="2:4" x14ac:dyDescent="0.25">
      <c r="B5" s="467"/>
      <c r="C5" s="467"/>
      <c r="D5" s="467"/>
    </row>
    <row r="6" spans="2:4" ht="15.75" thickBot="1" x14ac:dyDescent="0.3">
      <c r="B6" s="468"/>
      <c r="C6" s="468"/>
      <c r="D6" s="468"/>
    </row>
  </sheetData>
  <mergeCells count="3">
    <mergeCell ref="B3:B6"/>
    <mergeCell ref="C3:C6"/>
    <mergeCell ref="D3:D6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40"/>
  <sheetViews>
    <sheetView topLeftCell="A5" zoomScale="70" zoomScaleNormal="70" workbookViewId="0">
      <selection activeCell="D26" sqref="D26"/>
    </sheetView>
  </sheetViews>
  <sheetFormatPr defaultRowHeight="15" x14ac:dyDescent="0.25"/>
  <cols>
    <col min="1" max="1" width="14.28515625" customWidth="1"/>
    <col min="2" max="2" width="16.140625" customWidth="1"/>
    <col min="3" max="3" width="12" customWidth="1"/>
    <col min="4" max="4" width="14.42578125" customWidth="1"/>
    <col min="5" max="5" width="12.140625" customWidth="1"/>
  </cols>
  <sheetData>
    <row r="1" spans="1:16" s="1" customFormat="1" ht="15.75" x14ac:dyDescent="0.25">
      <c r="A1" s="278" t="s">
        <v>0</v>
      </c>
      <c r="B1" s="278" t="s">
        <v>1</v>
      </c>
      <c r="C1" s="278" t="s">
        <v>2</v>
      </c>
      <c r="D1" s="278" t="s">
        <v>3</v>
      </c>
      <c r="E1" s="278" t="s">
        <v>4</v>
      </c>
      <c r="F1" s="278" t="s">
        <v>5</v>
      </c>
      <c r="G1" s="278" t="s">
        <v>6</v>
      </c>
      <c r="H1" s="278"/>
      <c r="I1" s="278" t="s">
        <v>7</v>
      </c>
      <c r="J1" s="278"/>
      <c r="K1" s="278"/>
      <c r="L1" s="278" t="s">
        <v>8</v>
      </c>
      <c r="M1" s="278" t="s">
        <v>9</v>
      </c>
      <c r="N1" s="278" t="s">
        <v>10</v>
      </c>
      <c r="O1" s="278" t="s">
        <v>11</v>
      </c>
      <c r="P1" s="338" t="s">
        <v>12</v>
      </c>
    </row>
    <row r="2" spans="1:16" s="1" customFormat="1" ht="15.75" x14ac:dyDescent="0.25">
      <c r="A2" s="278"/>
      <c r="B2" s="278"/>
      <c r="C2" s="278"/>
      <c r="D2" s="278"/>
      <c r="E2" s="278"/>
      <c r="F2" s="278"/>
      <c r="G2" s="278" t="s">
        <v>13</v>
      </c>
      <c r="H2" s="278" t="s">
        <v>14</v>
      </c>
      <c r="I2" s="278" t="s">
        <v>15</v>
      </c>
      <c r="J2" s="278" t="s">
        <v>16</v>
      </c>
      <c r="K2" s="278" t="s">
        <v>17</v>
      </c>
      <c r="L2" s="278"/>
      <c r="M2" s="278"/>
      <c r="N2" s="278"/>
      <c r="O2" s="278"/>
      <c r="P2" s="338"/>
    </row>
    <row r="3" spans="1:16" s="1" customFormat="1" ht="15.75" x14ac:dyDescent="0.25">
      <c r="A3" s="278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338"/>
    </row>
    <row r="4" spans="1:16" s="1" customFormat="1" ht="15.75" x14ac:dyDescent="0.25">
      <c r="A4" s="3" t="s">
        <v>18</v>
      </c>
      <c r="B4" s="3" t="s">
        <v>19</v>
      </c>
      <c r="C4" s="3"/>
      <c r="D4" s="3" t="s">
        <v>20</v>
      </c>
      <c r="E4" s="3" t="s">
        <v>21</v>
      </c>
      <c r="F4" s="3" t="s">
        <v>22</v>
      </c>
      <c r="G4" s="3" t="s">
        <v>23</v>
      </c>
      <c r="H4" s="3" t="s">
        <v>23</v>
      </c>
      <c r="I4" s="3" t="s">
        <v>24</v>
      </c>
      <c r="J4" s="3" t="s">
        <v>22</v>
      </c>
      <c r="K4" s="3" t="s">
        <v>24</v>
      </c>
      <c r="L4" s="3" t="s">
        <v>25</v>
      </c>
      <c r="M4" s="3" t="s">
        <v>25</v>
      </c>
      <c r="N4" s="3" t="s">
        <v>26</v>
      </c>
      <c r="O4" s="3" t="s">
        <v>27</v>
      </c>
      <c r="P4" s="3" t="s">
        <v>28</v>
      </c>
    </row>
    <row r="5" spans="1:16" s="1" customFormat="1" ht="31.5" x14ac:dyDescent="0.25">
      <c r="A5" s="3">
        <v>1</v>
      </c>
      <c r="B5" s="12" t="s">
        <v>176</v>
      </c>
      <c r="C5" s="12" t="s">
        <v>29</v>
      </c>
      <c r="D5" s="3" t="s">
        <v>30</v>
      </c>
      <c r="E5" s="3">
        <v>1.5</v>
      </c>
      <c r="F5" s="3">
        <v>85</v>
      </c>
      <c r="G5" s="16">
        <f>H5*105/F5</f>
        <v>247.05882352941177</v>
      </c>
      <c r="H5" s="3">
        <v>200</v>
      </c>
      <c r="I5" s="17">
        <f>1/(H5/(10*F5))</f>
        <v>4.25</v>
      </c>
      <c r="J5" s="3">
        <v>0</v>
      </c>
      <c r="K5" s="17">
        <f>I5-(I5/100*J5)</f>
        <v>4.25</v>
      </c>
      <c r="L5" s="8">
        <v>550</v>
      </c>
      <c r="M5" s="8">
        <f>E5*L5</f>
        <v>825</v>
      </c>
      <c r="N5" s="9">
        <f>A5/K5</f>
        <v>0.23529411764705882</v>
      </c>
      <c r="O5" s="8">
        <f>E5*N5</f>
        <v>0.3529411764705882</v>
      </c>
      <c r="P5" s="18">
        <f>O5*L5</f>
        <v>194.11764705882351</v>
      </c>
    </row>
    <row r="6" spans="1:16" s="1" customFormat="1" ht="33" customHeight="1" x14ac:dyDescent="0.25">
      <c r="A6" s="335" t="s">
        <v>33</v>
      </c>
      <c r="B6" s="335"/>
      <c r="C6" s="335"/>
      <c r="D6" s="335"/>
      <c r="E6" s="3">
        <v>0.9</v>
      </c>
      <c r="F6" s="335">
        <v>10</v>
      </c>
      <c r="G6" s="335"/>
      <c r="H6" s="335"/>
      <c r="I6" s="335"/>
      <c r="J6" s="3"/>
      <c r="K6" s="3"/>
      <c r="L6" s="12">
        <v>500</v>
      </c>
      <c r="M6" s="12">
        <v>500</v>
      </c>
      <c r="N6" s="13">
        <f>N5*(F6/100)</f>
        <v>2.3529411764705882E-2</v>
      </c>
      <c r="O6" s="9">
        <f>E6*N6</f>
        <v>2.1176470588235293E-2</v>
      </c>
      <c r="P6" s="18">
        <f>O6*L6</f>
        <v>10.588235294117647</v>
      </c>
    </row>
    <row r="7" spans="1:16" s="1" customFormat="1" ht="47.25" customHeight="1" x14ac:dyDescent="0.25">
      <c r="A7" s="3"/>
      <c r="B7" s="335" t="s">
        <v>35</v>
      </c>
      <c r="C7" s="335"/>
      <c r="D7" s="335"/>
      <c r="E7" s="335"/>
      <c r="F7" s="335"/>
      <c r="G7" s="335"/>
      <c r="H7" s="3">
        <f>SUM(H5:H5)</f>
        <v>200</v>
      </c>
      <c r="I7" s="335" t="s">
        <v>36</v>
      </c>
      <c r="J7" s="335"/>
      <c r="K7" s="335"/>
      <c r="L7" s="335"/>
      <c r="M7" s="335"/>
      <c r="N7" s="335"/>
      <c r="O7" s="335"/>
      <c r="P7" s="18">
        <f>SUM(P5:P6)</f>
        <v>204.70588235294116</v>
      </c>
    </row>
    <row r="9" spans="1:16" s="1" customFormat="1" ht="15.75" x14ac:dyDescent="0.25">
      <c r="A9" s="278" t="s">
        <v>0</v>
      </c>
      <c r="B9" s="278" t="s">
        <v>1</v>
      </c>
      <c r="C9" s="278" t="s">
        <v>2</v>
      </c>
      <c r="D9" s="278" t="s">
        <v>3</v>
      </c>
      <c r="E9" s="278" t="s">
        <v>4</v>
      </c>
      <c r="F9" s="278" t="s">
        <v>5</v>
      </c>
      <c r="G9" s="278" t="s">
        <v>6</v>
      </c>
      <c r="H9" s="278"/>
      <c r="I9" s="278" t="s">
        <v>7</v>
      </c>
      <c r="J9" s="278"/>
      <c r="K9" s="278"/>
      <c r="L9" s="278" t="s">
        <v>8</v>
      </c>
      <c r="M9" s="278" t="s">
        <v>9</v>
      </c>
      <c r="N9" s="278" t="s">
        <v>10</v>
      </c>
      <c r="O9" s="278" t="s">
        <v>11</v>
      </c>
      <c r="P9" s="338" t="s">
        <v>12</v>
      </c>
    </row>
    <row r="10" spans="1:16" s="1" customFormat="1" ht="15.75" x14ac:dyDescent="0.25">
      <c r="A10" s="278"/>
      <c r="B10" s="278"/>
      <c r="C10" s="278"/>
      <c r="D10" s="278"/>
      <c r="E10" s="278"/>
      <c r="F10" s="278"/>
      <c r="G10" s="278" t="s">
        <v>13</v>
      </c>
      <c r="H10" s="278" t="s">
        <v>14</v>
      </c>
      <c r="I10" s="278" t="s">
        <v>15</v>
      </c>
      <c r="J10" s="278" t="s">
        <v>16</v>
      </c>
      <c r="K10" s="278" t="s">
        <v>17</v>
      </c>
      <c r="L10" s="278"/>
      <c r="M10" s="278"/>
      <c r="N10" s="278"/>
      <c r="O10" s="278"/>
      <c r="P10" s="338"/>
    </row>
    <row r="11" spans="1:16" s="1" customFormat="1" ht="15.75" x14ac:dyDescent="0.25">
      <c r="A11" s="278"/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338"/>
    </row>
    <row r="12" spans="1:16" s="1" customFormat="1" ht="15.75" x14ac:dyDescent="0.25">
      <c r="A12" s="3" t="s">
        <v>18</v>
      </c>
      <c r="B12" s="3" t="s">
        <v>19</v>
      </c>
      <c r="C12" s="3"/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23</v>
      </c>
      <c r="I12" s="3" t="s">
        <v>24</v>
      </c>
      <c r="J12" s="3" t="s">
        <v>22</v>
      </c>
      <c r="K12" s="3" t="s">
        <v>24</v>
      </c>
      <c r="L12" s="3" t="s">
        <v>25</v>
      </c>
      <c r="M12" s="3" t="s">
        <v>25</v>
      </c>
      <c r="N12" s="3" t="s">
        <v>26</v>
      </c>
      <c r="O12" s="3" t="s">
        <v>27</v>
      </c>
      <c r="P12" s="3" t="s">
        <v>28</v>
      </c>
    </row>
    <row r="13" spans="1:16" s="1" customFormat="1" ht="31.5" x14ac:dyDescent="0.25">
      <c r="A13" s="3">
        <v>1</v>
      </c>
      <c r="B13" s="12" t="s">
        <v>224</v>
      </c>
      <c r="C13" s="12" t="s">
        <v>29</v>
      </c>
      <c r="D13" s="3" t="s">
        <v>30</v>
      </c>
      <c r="E13" s="3">
        <v>1.6</v>
      </c>
      <c r="F13" s="3">
        <v>82</v>
      </c>
      <c r="G13" s="16">
        <f>H13*100/F13</f>
        <v>609.7560975609756</v>
      </c>
      <c r="H13" s="3">
        <v>500</v>
      </c>
      <c r="I13" s="17">
        <f>1/(H13/(10*F13))</f>
        <v>1.6400000000000001</v>
      </c>
      <c r="J13" s="3">
        <v>0</v>
      </c>
      <c r="K13" s="17">
        <f>I13-(I13/100*J13)</f>
        <v>1.6400000000000001</v>
      </c>
      <c r="L13" s="8">
        <v>560</v>
      </c>
      <c r="M13" s="8">
        <f>E13*L13</f>
        <v>896</v>
      </c>
      <c r="N13" s="9">
        <f>A13/K13</f>
        <v>0.6097560975609756</v>
      </c>
      <c r="O13" s="8">
        <f>E13*N13</f>
        <v>0.97560975609756095</v>
      </c>
      <c r="P13" s="18">
        <f>O13*L13</f>
        <v>546.34146341463418</v>
      </c>
    </row>
    <row r="14" spans="1:16" s="1" customFormat="1" ht="33" customHeight="1" x14ac:dyDescent="0.25">
      <c r="A14" s="335" t="s">
        <v>33</v>
      </c>
      <c r="B14" s="335"/>
      <c r="C14" s="335"/>
      <c r="D14" s="335"/>
      <c r="E14" s="3">
        <v>0.9</v>
      </c>
      <c r="F14" s="335">
        <v>10</v>
      </c>
      <c r="G14" s="335"/>
      <c r="H14" s="335"/>
      <c r="I14" s="335"/>
      <c r="J14" s="3"/>
      <c r="K14" s="3"/>
      <c r="L14" s="12">
        <v>500</v>
      </c>
      <c r="M14" s="12">
        <v>500</v>
      </c>
      <c r="N14" s="13">
        <f>N13*(F14/100)</f>
        <v>6.097560975609756E-2</v>
      </c>
      <c r="O14" s="9">
        <f>E14*N14</f>
        <v>5.4878048780487805E-2</v>
      </c>
      <c r="P14" s="18">
        <f>O14*L14</f>
        <v>27.439024390243901</v>
      </c>
    </row>
    <row r="15" spans="1:16" s="1" customFormat="1" ht="47.25" customHeight="1" x14ac:dyDescent="0.25">
      <c r="A15" s="3"/>
      <c r="B15" s="335" t="s">
        <v>35</v>
      </c>
      <c r="C15" s="335"/>
      <c r="D15" s="335"/>
      <c r="E15" s="335"/>
      <c r="F15" s="335"/>
      <c r="G15" s="335"/>
      <c r="H15" s="3">
        <f>SUM(H13:H13)</f>
        <v>500</v>
      </c>
      <c r="I15" s="335" t="s">
        <v>36</v>
      </c>
      <c r="J15" s="335"/>
      <c r="K15" s="335"/>
      <c r="L15" s="335"/>
      <c r="M15" s="335"/>
      <c r="N15" s="335"/>
      <c r="O15" s="335"/>
      <c r="P15" s="18">
        <f>SUM(P13:P14)</f>
        <v>573.78048780487802</v>
      </c>
    </row>
    <row r="18" spans="1:16" ht="15.75" x14ac:dyDescent="0.25">
      <c r="A18" s="278" t="s">
        <v>0</v>
      </c>
      <c r="B18" s="278" t="s">
        <v>1</v>
      </c>
      <c r="C18" s="278" t="s">
        <v>2</v>
      </c>
      <c r="D18" s="278" t="s">
        <v>3</v>
      </c>
      <c r="E18" s="278" t="s">
        <v>4</v>
      </c>
      <c r="F18" s="278" t="s">
        <v>5</v>
      </c>
      <c r="G18" s="278" t="s">
        <v>6</v>
      </c>
      <c r="H18" s="278"/>
      <c r="I18" s="278" t="s">
        <v>7</v>
      </c>
      <c r="J18" s="278"/>
      <c r="K18" s="278"/>
      <c r="L18" s="278" t="s">
        <v>8</v>
      </c>
      <c r="M18" s="278" t="s">
        <v>9</v>
      </c>
      <c r="N18" s="278" t="s">
        <v>10</v>
      </c>
      <c r="O18" s="278" t="s">
        <v>11</v>
      </c>
      <c r="P18" s="338" t="s">
        <v>12</v>
      </c>
    </row>
    <row r="19" spans="1:16" x14ac:dyDescent="0.25">
      <c r="A19" s="278"/>
      <c r="B19" s="278"/>
      <c r="C19" s="278"/>
      <c r="D19" s="278"/>
      <c r="E19" s="278"/>
      <c r="F19" s="278"/>
      <c r="G19" s="278" t="s">
        <v>13</v>
      </c>
      <c r="H19" s="278" t="s">
        <v>14</v>
      </c>
      <c r="I19" s="278" t="s">
        <v>15</v>
      </c>
      <c r="J19" s="278" t="s">
        <v>16</v>
      </c>
      <c r="K19" s="278" t="s">
        <v>17</v>
      </c>
      <c r="L19" s="278"/>
      <c r="M19" s="278"/>
      <c r="N19" s="278"/>
      <c r="O19" s="278"/>
      <c r="P19" s="338"/>
    </row>
    <row r="20" spans="1:16" x14ac:dyDescent="0.25">
      <c r="A20" s="278"/>
      <c r="B20" s="278"/>
      <c r="C20" s="278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338"/>
    </row>
    <row r="21" spans="1:16" ht="15.75" x14ac:dyDescent="0.25">
      <c r="A21" s="3" t="s">
        <v>18</v>
      </c>
      <c r="B21" s="3" t="s">
        <v>19</v>
      </c>
      <c r="C21" s="3"/>
      <c r="D21" s="3" t="s">
        <v>20</v>
      </c>
      <c r="E21" s="3" t="s">
        <v>21</v>
      </c>
      <c r="F21" s="3" t="s">
        <v>22</v>
      </c>
      <c r="G21" s="3" t="s">
        <v>23</v>
      </c>
      <c r="H21" s="3" t="s">
        <v>23</v>
      </c>
      <c r="I21" s="3" t="s">
        <v>24</v>
      </c>
      <c r="J21" s="3" t="s">
        <v>22</v>
      </c>
      <c r="K21" s="3" t="s">
        <v>24</v>
      </c>
      <c r="L21" s="3" t="s">
        <v>25</v>
      </c>
      <c r="M21" s="3" t="s">
        <v>25</v>
      </c>
      <c r="N21" s="3" t="s">
        <v>26</v>
      </c>
      <c r="O21" s="3" t="s">
        <v>27</v>
      </c>
      <c r="P21" s="3" t="s">
        <v>28</v>
      </c>
    </row>
    <row r="22" spans="1:16" ht="31.5" x14ac:dyDescent="0.25">
      <c r="A22" s="3">
        <f>488+330</f>
        <v>818</v>
      </c>
      <c r="B22" s="12" t="s">
        <v>69</v>
      </c>
      <c r="C22" s="12" t="s">
        <v>29</v>
      </c>
      <c r="D22" s="3" t="s">
        <v>30</v>
      </c>
      <c r="E22" s="3">
        <v>1.57</v>
      </c>
      <c r="F22" s="3">
        <v>63</v>
      </c>
      <c r="G22" s="16">
        <f>H22*100/F22</f>
        <v>476.1904761904762</v>
      </c>
      <c r="H22" s="3">
        <v>300</v>
      </c>
      <c r="I22" s="17">
        <f>1/(H22/(10*F22))</f>
        <v>2.1</v>
      </c>
      <c r="J22" s="3">
        <v>35</v>
      </c>
      <c r="K22" s="17">
        <f>I22-(I22/100*J22)</f>
        <v>1.365</v>
      </c>
      <c r="L22" s="8">
        <v>0</v>
      </c>
      <c r="M22" s="8">
        <v>0</v>
      </c>
      <c r="N22" s="9">
        <f>A22/K22</f>
        <v>599.26739926739924</v>
      </c>
      <c r="O22" s="8">
        <f>E22*N22</f>
        <v>940.84981684981688</v>
      </c>
      <c r="P22" s="18">
        <f>O22*L22</f>
        <v>0</v>
      </c>
    </row>
    <row r="23" spans="1:16" ht="15.75" x14ac:dyDescent="0.25">
      <c r="A23" s="335" t="s">
        <v>33</v>
      </c>
      <c r="B23" s="335"/>
      <c r="C23" s="335"/>
      <c r="D23" s="335"/>
      <c r="E23" s="3">
        <v>0.9</v>
      </c>
      <c r="F23" s="335">
        <v>5</v>
      </c>
      <c r="G23" s="335"/>
      <c r="H23" s="335"/>
      <c r="I23" s="335"/>
      <c r="J23" s="3"/>
      <c r="K23" s="3"/>
      <c r="L23" s="12"/>
      <c r="M23" s="12"/>
      <c r="N23" s="13">
        <f>N22*(F23/100)</f>
        <v>29.963369963369964</v>
      </c>
      <c r="O23" s="9">
        <f>E23*N23</f>
        <v>26.967032967032967</v>
      </c>
      <c r="P23" s="18">
        <f>O23*L23</f>
        <v>0</v>
      </c>
    </row>
    <row r="24" spans="1:16" ht="15.75" x14ac:dyDescent="0.25">
      <c r="A24" s="3"/>
      <c r="B24" s="335" t="s">
        <v>35</v>
      </c>
      <c r="C24" s="335"/>
      <c r="D24" s="335"/>
      <c r="E24" s="335"/>
      <c r="F24" s="335"/>
      <c r="G24" s="335"/>
      <c r="H24" s="3">
        <f>SUM(H22:H22)</f>
        <v>300</v>
      </c>
      <c r="I24" s="335" t="s">
        <v>36</v>
      </c>
      <c r="J24" s="335"/>
      <c r="K24" s="335"/>
      <c r="L24" s="335"/>
      <c r="M24" s="335"/>
      <c r="N24" s="335"/>
      <c r="O24" s="335"/>
      <c r="P24" s="18">
        <f>SUM(P22:P23)</f>
        <v>0</v>
      </c>
    </row>
    <row r="27" spans="1:16" ht="15.75" x14ac:dyDescent="0.25">
      <c r="A27" s="278" t="s">
        <v>0</v>
      </c>
      <c r="B27" s="278" t="s">
        <v>1</v>
      </c>
      <c r="C27" s="278" t="s">
        <v>2</v>
      </c>
      <c r="D27" s="278" t="s">
        <v>3</v>
      </c>
      <c r="E27" s="278" t="s">
        <v>4</v>
      </c>
      <c r="F27" s="278" t="s">
        <v>5</v>
      </c>
      <c r="G27" s="278" t="s">
        <v>6</v>
      </c>
      <c r="H27" s="278"/>
      <c r="I27" s="278" t="s">
        <v>7</v>
      </c>
      <c r="J27" s="278"/>
      <c r="K27" s="278"/>
      <c r="L27" s="278" t="s">
        <v>8</v>
      </c>
      <c r="M27" s="278" t="s">
        <v>9</v>
      </c>
      <c r="N27" s="278" t="s">
        <v>10</v>
      </c>
      <c r="O27" s="278" t="s">
        <v>11</v>
      </c>
      <c r="P27" s="338" t="s">
        <v>12</v>
      </c>
    </row>
    <row r="28" spans="1:16" x14ac:dyDescent="0.25">
      <c r="A28" s="278"/>
      <c r="B28" s="278"/>
      <c r="C28" s="278"/>
      <c r="D28" s="278"/>
      <c r="E28" s="278"/>
      <c r="F28" s="278"/>
      <c r="G28" s="278" t="s">
        <v>13</v>
      </c>
      <c r="H28" s="278" t="s">
        <v>14</v>
      </c>
      <c r="I28" s="278" t="s">
        <v>15</v>
      </c>
      <c r="J28" s="278" t="s">
        <v>16</v>
      </c>
      <c r="K28" s="278" t="s">
        <v>17</v>
      </c>
      <c r="L28" s="278"/>
      <c r="M28" s="278"/>
      <c r="N28" s="278"/>
      <c r="O28" s="278"/>
      <c r="P28" s="338"/>
    </row>
    <row r="29" spans="1:16" x14ac:dyDescent="0.25">
      <c r="A29" s="278"/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338"/>
    </row>
    <row r="30" spans="1:16" ht="15.75" x14ac:dyDescent="0.25">
      <c r="A30" s="124" t="s">
        <v>18</v>
      </c>
      <c r="B30" s="124" t="s">
        <v>19</v>
      </c>
      <c r="C30" s="124"/>
      <c r="D30" s="124" t="s">
        <v>20</v>
      </c>
      <c r="E30" s="124" t="s">
        <v>21</v>
      </c>
      <c r="F30" s="124" t="s">
        <v>22</v>
      </c>
      <c r="G30" s="124" t="s">
        <v>23</v>
      </c>
      <c r="H30" s="124" t="s">
        <v>23</v>
      </c>
      <c r="I30" s="124" t="s">
        <v>24</v>
      </c>
      <c r="J30" s="124" t="s">
        <v>22</v>
      </c>
      <c r="K30" s="124" t="s">
        <v>24</v>
      </c>
      <c r="L30" s="124" t="s">
        <v>25</v>
      </c>
      <c r="M30" s="124" t="s">
        <v>25</v>
      </c>
      <c r="N30" s="124" t="s">
        <v>26</v>
      </c>
      <c r="O30" s="124" t="s">
        <v>27</v>
      </c>
      <c r="P30" s="124" t="s">
        <v>28</v>
      </c>
    </row>
    <row r="31" spans="1:16" ht="47.25" x14ac:dyDescent="0.25">
      <c r="A31" s="124">
        <v>1</v>
      </c>
      <c r="B31" s="12" t="s">
        <v>275</v>
      </c>
      <c r="C31" s="12" t="s">
        <v>29</v>
      </c>
      <c r="D31" s="124" t="s">
        <v>239</v>
      </c>
      <c r="E31" s="124">
        <v>1.58</v>
      </c>
      <c r="F31" s="124">
        <v>91.8</v>
      </c>
      <c r="G31" s="16">
        <f>H31*100/F31</f>
        <v>326.79738562091507</v>
      </c>
      <c r="H31" s="124">
        <v>300</v>
      </c>
      <c r="I31" s="17">
        <f>1/(H31/(10*F31))</f>
        <v>3.06</v>
      </c>
      <c r="J31" s="124">
        <v>0</v>
      </c>
      <c r="K31" s="17">
        <f>I31-(I31/100*J31)</f>
        <v>3.06</v>
      </c>
      <c r="L31" s="8">
        <v>690</v>
      </c>
      <c r="M31" s="8">
        <f>L31*E31</f>
        <v>1090.2</v>
      </c>
      <c r="N31" s="9">
        <f>A31/K31</f>
        <v>0.32679738562091504</v>
      </c>
      <c r="O31" s="8">
        <f>E31*N31</f>
        <v>0.5163398692810458</v>
      </c>
      <c r="P31" s="18">
        <f>O31*L31</f>
        <v>356.2745098039216</v>
      </c>
    </row>
    <row r="32" spans="1:16" ht="15.75" x14ac:dyDescent="0.25">
      <c r="A32" s="124"/>
      <c r="B32" s="335" t="s">
        <v>35</v>
      </c>
      <c r="C32" s="335"/>
      <c r="D32" s="335"/>
      <c r="E32" s="335"/>
      <c r="F32" s="335"/>
      <c r="G32" s="335"/>
      <c r="H32" s="124">
        <f>SUM(H31:H31)</f>
        <v>300</v>
      </c>
      <c r="I32" s="335" t="s">
        <v>36</v>
      </c>
      <c r="J32" s="335"/>
      <c r="K32" s="335"/>
      <c r="L32" s="335"/>
      <c r="M32" s="335"/>
      <c r="N32" s="335"/>
      <c r="O32" s="335"/>
      <c r="P32" s="18">
        <f>SUM(P31:P31)</f>
        <v>356.2745098039216</v>
      </c>
    </row>
    <row r="35" spans="1:16" ht="15.75" x14ac:dyDescent="0.25">
      <c r="A35" s="278" t="s">
        <v>0</v>
      </c>
      <c r="B35" s="278" t="s">
        <v>1</v>
      </c>
      <c r="C35" s="278" t="s">
        <v>2</v>
      </c>
      <c r="D35" s="278" t="s">
        <v>3</v>
      </c>
      <c r="E35" s="278" t="s">
        <v>4</v>
      </c>
      <c r="F35" s="278" t="s">
        <v>5</v>
      </c>
      <c r="G35" s="278" t="s">
        <v>6</v>
      </c>
      <c r="H35" s="278"/>
      <c r="I35" s="278" t="s">
        <v>7</v>
      </c>
      <c r="J35" s="278"/>
      <c r="K35" s="278"/>
      <c r="L35" s="278" t="s">
        <v>8</v>
      </c>
      <c r="M35" s="278" t="s">
        <v>9</v>
      </c>
      <c r="N35" s="278" t="s">
        <v>10</v>
      </c>
      <c r="O35" s="278" t="s">
        <v>11</v>
      </c>
      <c r="P35" s="338" t="s">
        <v>12</v>
      </c>
    </row>
    <row r="36" spans="1:16" x14ac:dyDescent="0.25">
      <c r="A36" s="278"/>
      <c r="B36" s="278"/>
      <c r="C36" s="278"/>
      <c r="D36" s="278"/>
      <c r="E36" s="278"/>
      <c r="F36" s="278"/>
      <c r="G36" s="278" t="s">
        <v>13</v>
      </c>
      <c r="H36" s="278" t="s">
        <v>14</v>
      </c>
      <c r="I36" s="278" t="s">
        <v>15</v>
      </c>
      <c r="J36" s="278" t="s">
        <v>16</v>
      </c>
      <c r="K36" s="278" t="s">
        <v>17</v>
      </c>
      <c r="L36" s="278"/>
      <c r="M36" s="278"/>
      <c r="N36" s="278"/>
      <c r="O36" s="278"/>
      <c r="P36" s="338"/>
    </row>
    <row r="37" spans="1:16" x14ac:dyDescent="0.25">
      <c r="A37" s="278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338"/>
    </row>
    <row r="38" spans="1:16" ht="15.75" x14ac:dyDescent="0.25">
      <c r="A38" s="124" t="s">
        <v>18</v>
      </c>
      <c r="B38" s="124" t="s">
        <v>19</v>
      </c>
      <c r="C38" s="124"/>
      <c r="D38" s="124" t="s">
        <v>20</v>
      </c>
      <c r="E38" s="124" t="s">
        <v>21</v>
      </c>
      <c r="F38" s="124" t="s">
        <v>22</v>
      </c>
      <c r="G38" s="124" t="s">
        <v>23</v>
      </c>
      <c r="H38" s="124" t="s">
        <v>23</v>
      </c>
      <c r="I38" s="124" t="s">
        <v>24</v>
      </c>
      <c r="J38" s="124" t="s">
        <v>22</v>
      </c>
      <c r="K38" s="124" t="s">
        <v>24</v>
      </c>
      <c r="L38" s="124" t="s">
        <v>25</v>
      </c>
      <c r="M38" s="124" t="s">
        <v>25</v>
      </c>
      <c r="N38" s="124" t="s">
        <v>26</v>
      </c>
      <c r="O38" s="124" t="s">
        <v>27</v>
      </c>
      <c r="P38" s="124" t="s">
        <v>28</v>
      </c>
    </row>
    <row r="39" spans="1:16" ht="47.25" x14ac:dyDescent="0.25">
      <c r="A39" s="124">
        <v>1</v>
      </c>
      <c r="B39" s="12" t="s">
        <v>275</v>
      </c>
      <c r="C39" s="12" t="s">
        <v>29</v>
      </c>
      <c r="D39" s="124" t="s">
        <v>276</v>
      </c>
      <c r="E39" s="124">
        <v>1.65</v>
      </c>
      <c r="F39" s="124">
        <v>95.7</v>
      </c>
      <c r="G39" s="16">
        <f>H39*100/F39</f>
        <v>313.47962382445138</v>
      </c>
      <c r="H39" s="124">
        <v>300</v>
      </c>
      <c r="I39" s="17">
        <f>1/(H39/(10*F39))</f>
        <v>3.19</v>
      </c>
      <c r="J39" s="124">
        <v>0</v>
      </c>
      <c r="K39" s="17">
        <f>I39-(I39/100*J39)</f>
        <v>3.19</v>
      </c>
      <c r="L39" s="8">
        <v>690</v>
      </c>
      <c r="M39" s="8">
        <f>L39*E39</f>
        <v>1138.5</v>
      </c>
      <c r="N39" s="9">
        <f>A39/K39</f>
        <v>0.31347962382445144</v>
      </c>
      <c r="O39" s="8">
        <f>E39*N39</f>
        <v>0.51724137931034486</v>
      </c>
      <c r="P39" s="18">
        <f>O39*L39</f>
        <v>356.89655172413796</v>
      </c>
    </row>
    <row r="40" spans="1:16" ht="15.75" x14ac:dyDescent="0.25">
      <c r="A40" s="124"/>
      <c r="B40" s="335" t="s">
        <v>35</v>
      </c>
      <c r="C40" s="335"/>
      <c r="D40" s="335"/>
      <c r="E40" s="335"/>
      <c r="F40" s="335"/>
      <c r="G40" s="335"/>
      <c r="H40" s="124">
        <f>SUM(H39:H39)</f>
        <v>300</v>
      </c>
      <c r="I40" s="335" t="s">
        <v>36</v>
      </c>
      <c r="J40" s="335"/>
      <c r="K40" s="335"/>
      <c r="L40" s="335"/>
      <c r="M40" s="335"/>
      <c r="N40" s="335"/>
      <c r="O40" s="335"/>
      <c r="P40" s="18">
        <f>SUM(P39:P39)</f>
        <v>356.89655172413796</v>
      </c>
    </row>
  </sheetData>
  <mergeCells count="106">
    <mergeCell ref="F1:F3"/>
    <mergeCell ref="A1:A3"/>
    <mergeCell ref="B1:B3"/>
    <mergeCell ref="C1:C3"/>
    <mergeCell ref="D1:D3"/>
    <mergeCell ref="E1:E3"/>
    <mergeCell ref="P9:P11"/>
    <mergeCell ref="G10:G11"/>
    <mergeCell ref="H10:H11"/>
    <mergeCell ref="I10:I11"/>
    <mergeCell ref="J10:J11"/>
    <mergeCell ref="K10:K11"/>
    <mergeCell ref="G9:H9"/>
    <mergeCell ref="I9:K9"/>
    <mergeCell ref="L9:L11"/>
    <mergeCell ref="M9:M11"/>
    <mergeCell ref="N9:N11"/>
    <mergeCell ref="O9:O11"/>
    <mergeCell ref="P1:P3"/>
    <mergeCell ref="G2:G3"/>
    <mergeCell ref="H2:H3"/>
    <mergeCell ref="I2:I3"/>
    <mergeCell ref="J2:J3"/>
    <mergeCell ref="K2:K3"/>
    <mergeCell ref="G1:H1"/>
    <mergeCell ref="I1:K1"/>
    <mergeCell ref="L1:L3"/>
    <mergeCell ref="M1:M3"/>
    <mergeCell ref="N1:N3"/>
    <mergeCell ref="O1:O3"/>
    <mergeCell ref="F18:F20"/>
    <mergeCell ref="A6:D6"/>
    <mergeCell ref="F6:I6"/>
    <mergeCell ref="B7:G7"/>
    <mergeCell ref="I7:O7"/>
    <mergeCell ref="A18:A20"/>
    <mergeCell ref="B18:B20"/>
    <mergeCell ref="C18:C20"/>
    <mergeCell ref="D18:D20"/>
    <mergeCell ref="E18:E20"/>
    <mergeCell ref="A9:A11"/>
    <mergeCell ref="B9:B11"/>
    <mergeCell ref="C9:C11"/>
    <mergeCell ref="D9:D11"/>
    <mergeCell ref="E9:E11"/>
    <mergeCell ref="F9:F11"/>
    <mergeCell ref="A14:D14"/>
    <mergeCell ref="F14:I14"/>
    <mergeCell ref="B15:G15"/>
    <mergeCell ref="I15:O15"/>
    <mergeCell ref="P18:P20"/>
    <mergeCell ref="G19:G20"/>
    <mergeCell ref="H19:H20"/>
    <mergeCell ref="I19:I20"/>
    <mergeCell ref="J19:J20"/>
    <mergeCell ref="K19:K20"/>
    <mergeCell ref="G18:H18"/>
    <mergeCell ref="I18:K18"/>
    <mergeCell ref="L18:L20"/>
    <mergeCell ref="M18:M20"/>
    <mergeCell ref="N18:N20"/>
    <mergeCell ref="O18:O20"/>
    <mergeCell ref="A27:A29"/>
    <mergeCell ref="B27:B29"/>
    <mergeCell ref="C27:C29"/>
    <mergeCell ref="D27:D29"/>
    <mergeCell ref="E27:E29"/>
    <mergeCell ref="A23:D23"/>
    <mergeCell ref="F23:I23"/>
    <mergeCell ref="B24:G24"/>
    <mergeCell ref="I24:O24"/>
    <mergeCell ref="N27:N29"/>
    <mergeCell ref="O27:O29"/>
    <mergeCell ref="P27:P29"/>
    <mergeCell ref="G28:G29"/>
    <mergeCell ref="H28:H29"/>
    <mergeCell ref="I28:I29"/>
    <mergeCell ref="J28:J29"/>
    <mergeCell ref="K28:K29"/>
    <mergeCell ref="F27:F29"/>
    <mergeCell ref="G27:H27"/>
    <mergeCell ref="I27:K27"/>
    <mergeCell ref="L27:L29"/>
    <mergeCell ref="M27:M29"/>
    <mergeCell ref="A35:A37"/>
    <mergeCell ref="B35:B37"/>
    <mergeCell ref="C35:C37"/>
    <mergeCell ref="D35:D37"/>
    <mergeCell ref="E35:E37"/>
    <mergeCell ref="F35:F37"/>
    <mergeCell ref="G35:H35"/>
    <mergeCell ref="I35:K35"/>
    <mergeCell ref="L35:L37"/>
    <mergeCell ref="B40:G40"/>
    <mergeCell ref="I40:O40"/>
    <mergeCell ref="P35:P37"/>
    <mergeCell ref="G36:G37"/>
    <mergeCell ref="H36:H37"/>
    <mergeCell ref="I36:I37"/>
    <mergeCell ref="J36:J37"/>
    <mergeCell ref="K36:K37"/>
    <mergeCell ref="B32:G32"/>
    <mergeCell ref="I32:O32"/>
    <mergeCell ref="M35:M37"/>
    <mergeCell ref="N35:N37"/>
    <mergeCell ref="O35:O37"/>
  </mergeCells>
  <pageMargins left="0.7" right="0.7" top="0.75" bottom="0.75" header="0.3" footer="0.3"/>
  <pageSetup paperSize="9" scale="6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Q26"/>
  <sheetViews>
    <sheetView workbookViewId="0">
      <selection activeCell="H65" sqref="H65"/>
    </sheetView>
  </sheetViews>
  <sheetFormatPr defaultColWidth="9.140625" defaultRowHeight="15" x14ac:dyDescent="0.25"/>
  <cols>
    <col min="1" max="1" width="9.140625" style="14"/>
    <col min="2" max="2" width="10.5703125" style="14" customWidth="1"/>
    <col min="3" max="3" width="23.85546875" style="14" customWidth="1"/>
    <col min="4" max="4" width="13" style="14" customWidth="1"/>
    <col min="5" max="5" width="13.5703125" style="14" customWidth="1"/>
    <col min="6" max="6" width="12.5703125" style="14" customWidth="1"/>
    <col min="7" max="7" width="12.28515625" style="14" customWidth="1"/>
    <col min="8" max="8" width="9.5703125" style="14" customWidth="1"/>
    <col min="9" max="9" width="11.42578125" style="14" customWidth="1"/>
    <col min="10" max="10" width="14.5703125" style="14" customWidth="1"/>
    <col min="11" max="11" width="9.140625" style="14" customWidth="1"/>
    <col min="12" max="12" width="10.42578125" style="14" customWidth="1"/>
    <col min="13" max="13" width="18.7109375" style="14" hidden="1" customWidth="1"/>
    <col min="14" max="14" width="20.5703125" style="14" hidden="1" customWidth="1"/>
    <col min="15" max="15" width="16.7109375" style="14" customWidth="1"/>
    <col min="16" max="16" width="16.5703125" style="14" customWidth="1"/>
    <col min="17" max="17" width="0.28515625" style="14" customWidth="1"/>
    <col min="18" max="16384" width="9.140625" style="14"/>
  </cols>
  <sheetData>
    <row r="1" spans="2:17" ht="15.75" thickBot="1" x14ac:dyDescent="0.3"/>
    <row r="2" spans="2:17" x14ac:dyDescent="0.25">
      <c r="B2" s="474" t="s">
        <v>59</v>
      </c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3"/>
    </row>
    <row r="3" spans="2:17" ht="15.75" x14ac:dyDescent="0.25">
      <c r="B3" s="318" t="s">
        <v>0</v>
      </c>
      <c r="C3" s="322" t="s">
        <v>1</v>
      </c>
      <c r="D3" s="322" t="s">
        <v>2</v>
      </c>
      <c r="E3" s="322" t="s">
        <v>3</v>
      </c>
      <c r="F3" s="322" t="s">
        <v>4</v>
      </c>
      <c r="G3" s="322" t="s">
        <v>5</v>
      </c>
      <c r="H3" s="322" t="s">
        <v>6</v>
      </c>
      <c r="I3" s="322"/>
      <c r="J3" s="322" t="s">
        <v>7</v>
      </c>
      <c r="K3" s="322"/>
      <c r="L3" s="322"/>
      <c r="M3" s="322" t="s">
        <v>8</v>
      </c>
      <c r="N3" s="278" t="s">
        <v>9</v>
      </c>
      <c r="O3" s="278" t="s">
        <v>10</v>
      </c>
      <c r="P3" s="278" t="s">
        <v>60</v>
      </c>
      <c r="Q3" s="367" t="s">
        <v>12</v>
      </c>
    </row>
    <row r="4" spans="2:17" x14ac:dyDescent="0.25">
      <c r="B4" s="318"/>
      <c r="C4" s="322"/>
      <c r="D4" s="322"/>
      <c r="E4" s="322"/>
      <c r="F4" s="322"/>
      <c r="G4" s="322"/>
      <c r="H4" s="322" t="s">
        <v>13</v>
      </c>
      <c r="I4" s="322" t="s">
        <v>14</v>
      </c>
      <c r="J4" s="322" t="s">
        <v>15</v>
      </c>
      <c r="K4" s="322" t="s">
        <v>16</v>
      </c>
      <c r="L4" s="322" t="s">
        <v>17</v>
      </c>
      <c r="M4" s="322"/>
      <c r="N4" s="278"/>
      <c r="O4" s="278"/>
      <c r="P4" s="278"/>
      <c r="Q4" s="367"/>
    </row>
    <row r="5" spans="2:17" x14ac:dyDescent="0.25">
      <c r="B5" s="318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278"/>
      <c r="O5" s="278"/>
      <c r="P5" s="278"/>
      <c r="Q5" s="367"/>
    </row>
    <row r="6" spans="2:17" ht="21" customHeight="1" x14ac:dyDescent="0.25">
      <c r="B6" s="20" t="s">
        <v>18</v>
      </c>
      <c r="C6" s="2" t="s">
        <v>19</v>
      </c>
      <c r="D6" s="2"/>
      <c r="E6" s="2" t="s">
        <v>20</v>
      </c>
      <c r="F6" s="2" t="s">
        <v>21</v>
      </c>
      <c r="G6" s="2" t="s">
        <v>22</v>
      </c>
      <c r="H6" s="2" t="s">
        <v>23</v>
      </c>
      <c r="I6" s="2" t="s">
        <v>23</v>
      </c>
      <c r="J6" s="2" t="s">
        <v>24</v>
      </c>
      <c r="K6" s="2" t="s">
        <v>22</v>
      </c>
      <c r="L6" s="2" t="s">
        <v>24</v>
      </c>
      <c r="M6" s="2" t="s">
        <v>25</v>
      </c>
      <c r="N6" s="3" t="s">
        <v>25</v>
      </c>
      <c r="O6" s="3" t="s">
        <v>26</v>
      </c>
      <c r="P6" s="3" t="s">
        <v>26</v>
      </c>
      <c r="Q6" s="21" t="s">
        <v>28</v>
      </c>
    </row>
    <row r="7" spans="2:17" ht="15.75" x14ac:dyDescent="0.25">
      <c r="B7" s="20">
        <v>1</v>
      </c>
      <c r="C7" s="4" t="s">
        <v>46</v>
      </c>
      <c r="D7" s="4" t="s">
        <v>29</v>
      </c>
      <c r="E7" s="2" t="s">
        <v>30</v>
      </c>
      <c r="F7" s="2">
        <v>1.4</v>
      </c>
      <c r="G7" s="2">
        <v>80</v>
      </c>
      <c r="H7" s="5">
        <f>I7*100/G7</f>
        <v>375</v>
      </c>
      <c r="I7" s="2">
        <v>300</v>
      </c>
      <c r="J7" s="6">
        <f>1/(I7/(10*G7))</f>
        <v>2.6666666666666665</v>
      </c>
      <c r="K7" s="2">
        <v>30</v>
      </c>
      <c r="L7" s="6">
        <f>J7-(J7/100*K7)</f>
        <v>1.8666666666666667</v>
      </c>
      <c r="M7" s="7">
        <v>490</v>
      </c>
      <c r="N7" s="8">
        <f>M7*F7</f>
        <v>686</v>
      </c>
      <c r="O7" s="26">
        <f>B7/J7</f>
        <v>0.375</v>
      </c>
      <c r="P7" s="27">
        <f>B7/L7</f>
        <v>0.5357142857142857</v>
      </c>
      <c r="Q7" s="22">
        <f>P7*M7</f>
        <v>262.5</v>
      </c>
    </row>
    <row r="8" spans="2:17" ht="31.5" hidden="1" x14ac:dyDescent="0.25">
      <c r="B8" s="20">
        <v>1</v>
      </c>
      <c r="C8" s="4" t="s">
        <v>31</v>
      </c>
      <c r="D8" s="4" t="s">
        <v>32</v>
      </c>
      <c r="E8" s="11" t="s">
        <v>30</v>
      </c>
      <c r="F8" s="2">
        <v>1.4</v>
      </c>
      <c r="G8" s="2">
        <v>63</v>
      </c>
      <c r="H8" s="5">
        <f>I8*100/G8</f>
        <v>79.365079365079367</v>
      </c>
      <c r="I8" s="2">
        <v>50</v>
      </c>
      <c r="J8" s="6">
        <f>1/(I8/(10*G8))</f>
        <v>12.600000000000001</v>
      </c>
      <c r="K8" s="2">
        <v>0</v>
      </c>
      <c r="L8" s="6">
        <f>J8-(J8/100*K8)</f>
        <v>12.600000000000001</v>
      </c>
      <c r="M8" s="7">
        <v>739</v>
      </c>
      <c r="N8" s="8">
        <f>M8*F8</f>
        <v>1034.5999999999999</v>
      </c>
      <c r="O8" s="26">
        <f>B8/L8</f>
        <v>7.9365079365079361E-2</v>
      </c>
      <c r="P8" s="26">
        <f>F8*O8</f>
        <v>0.11111111111111109</v>
      </c>
      <c r="Q8" s="22">
        <f>P8*M8</f>
        <v>82.1111111111111</v>
      </c>
    </row>
    <row r="9" spans="2:17" ht="15.75" x14ac:dyDescent="0.25">
      <c r="B9" s="420" t="s">
        <v>33</v>
      </c>
      <c r="C9" s="363"/>
      <c r="D9" s="363"/>
      <c r="E9" s="363"/>
      <c r="F9" s="2">
        <v>0.9</v>
      </c>
      <c r="G9" s="363">
        <v>5</v>
      </c>
      <c r="H9" s="363"/>
      <c r="I9" s="363"/>
      <c r="J9" s="363"/>
      <c r="K9" s="2"/>
      <c r="L9" s="2"/>
      <c r="M9" s="4">
        <v>423</v>
      </c>
      <c r="N9" s="12">
        <v>423</v>
      </c>
      <c r="O9" s="28">
        <f>O7*0.1</f>
        <v>3.7500000000000006E-2</v>
      </c>
      <c r="P9" s="26">
        <f>F9*O9</f>
        <v>3.3750000000000009E-2</v>
      </c>
      <c r="Q9" s="22">
        <f>O9*M9</f>
        <v>15.862500000000002</v>
      </c>
    </row>
    <row r="10" spans="2:17" ht="15.75" hidden="1" x14ac:dyDescent="0.25">
      <c r="B10" s="420" t="s">
        <v>34</v>
      </c>
      <c r="C10" s="363"/>
      <c r="D10" s="363"/>
      <c r="E10" s="363"/>
      <c r="F10" s="2">
        <v>0.9</v>
      </c>
      <c r="G10" s="363">
        <v>10</v>
      </c>
      <c r="H10" s="363"/>
      <c r="I10" s="363"/>
      <c r="J10" s="363"/>
      <c r="K10" s="2"/>
      <c r="L10" s="2"/>
      <c r="M10" s="4">
        <v>423</v>
      </c>
      <c r="N10" s="12">
        <v>423</v>
      </c>
      <c r="O10" s="13">
        <f>O8*(G10/100)</f>
        <v>7.9365079365079361E-3</v>
      </c>
      <c r="P10" s="9">
        <f>F10*O10</f>
        <v>7.1428571428571426E-3</v>
      </c>
      <c r="Q10" s="22">
        <f>O10*M10</f>
        <v>3.3571428571428568</v>
      </c>
    </row>
    <row r="11" spans="2:17" ht="15.75" x14ac:dyDescent="0.25">
      <c r="B11" s="20"/>
      <c r="C11" s="363" t="s">
        <v>35</v>
      </c>
      <c r="D11" s="363"/>
      <c r="E11" s="363"/>
      <c r="F11" s="363"/>
      <c r="G11" s="363"/>
      <c r="H11" s="363"/>
      <c r="I11" s="2">
        <v>300</v>
      </c>
      <c r="J11" s="363"/>
      <c r="K11" s="363"/>
      <c r="L11" s="363"/>
      <c r="M11" s="363"/>
      <c r="N11" s="363"/>
      <c r="O11" s="363"/>
      <c r="P11" s="363"/>
      <c r="Q11" s="22">
        <f>SUM(Q7:Q10)</f>
        <v>363.83075396825393</v>
      </c>
    </row>
    <row r="12" spans="2:17" ht="40.5" customHeight="1" thickBot="1" x14ac:dyDescent="0.3">
      <c r="B12" s="469" t="s">
        <v>61</v>
      </c>
      <c r="C12" s="470"/>
      <c r="D12" s="470"/>
      <c r="E12" s="470"/>
      <c r="F12" s="470"/>
      <c r="G12" s="470"/>
      <c r="H12" s="470"/>
      <c r="I12" s="470"/>
      <c r="J12" s="470"/>
      <c r="K12" s="470"/>
      <c r="L12" s="470"/>
      <c r="M12" s="470"/>
      <c r="N12" s="470"/>
      <c r="O12" s="470"/>
      <c r="P12" s="470"/>
      <c r="Q12" s="29"/>
    </row>
    <row r="15" spans="2:17" ht="15.75" thickBot="1" x14ac:dyDescent="0.3"/>
    <row r="16" spans="2:17" x14ac:dyDescent="0.25">
      <c r="B16" s="471" t="s">
        <v>62</v>
      </c>
      <c r="C16" s="472"/>
      <c r="D16" s="472"/>
      <c r="E16" s="472"/>
      <c r="F16" s="472"/>
      <c r="G16" s="472"/>
      <c r="H16" s="472"/>
      <c r="I16" s="472"/>
      <c r="J16" s="472"/>
      <c r="K16" s="472"/>
      <c r="L16" s="472"/>
      <c r="M16" s="472"/>
      <c r="N16" s="472"/>
      <c r="O16" s="472"/>
      <c r="P16" s="472"/>
      <c r="Q16" s="473"/>
    </row>
    <row r="17" spans="2:17" ht="15.75" x14ac:dyDescent="0.25">
      <c r="B17" s="318" t="s">
        <v>0</v>
      </c>
      <c r="C17" s="322" t="s">
        <v>1</v>
      </c>
      <c r="D17" s="322" t="s">
        <v>2</v>
      </c>
      <c r="E17" s="322" t="s">
        <v>3</v>
      </c>
      <c r="F17" s="322" t="s">
        <v>4</v>
      </c>
      <c r="G17" s="322" t="s">
        <v>5</v>
      </c>
      <c r="H17" s="322" t="s">
        <v>6</v>
      </c>
      <c r="I17" s="322"/>
      <c r="J17" s="322" t="s">
        <v>7</v>
      </c>
      <c r="K17" s="322"/>
      <c r="L17" s="322"/>
      <c r="M17" s="322" t="s">
        <v>8</v>
      </c>
      <c r="N17" s="278" t="s">
        <v>9</v>
      </c>
      <c r="O17" s="278" t="s">
        <v>10</v>
      </c>
      <c r="P17" s="278" t="s">
        <v>60</v>
      </c>
      <c r="Q17" s="367" t="s">
        <v>12</v>
      </c>
    </row>
    <row r="18" spans="2:17" x14ac:dyDescent="0.25">
      <c r="B18" s="318"/>
      <c r="C18" s="322"/>
      <c r="D18" s="322"/>
      <c r="E18" s="322"/>
      <c r="F18" s="322"/>
      <c r="G18" s="322"/>
      <c r="H18" s="322" t="s">
        <v>13</v>
      </c>
      <c r="I18" s="322" t="s">
        <v>14</v>
      </c>
      <c r="J18" s="322" t="s">
        <v>15</v>
      </c>
      <c r="K18" s="322" t="s">
        <v>16</v>
      </c>
      <c r="L18" s="322" t="s">
        <v>17</v>
      </c>
      <c r="M18" s="322"/>
      <c r="N18" s="278"/>
      <c r="O18" s="278"/>
      <c r="P18" s="278"/>
      <c r="Q18" s="367"/>
    </row>
    <row r="19" spans="2:17" x14ac:dyDescent="0.25">
      <c r="B19" s="318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278"/>
      <c r="O19" s="278"/>
      <c r="P19" s="278"/>
      <c r="Q19" s="367"/>
    </row>
    <row r="20" spans="2:17" ht="22.5" customHeight="1" x14ac:dyDescent="0.25">
      <c r="B20" s="20" t="s">
        <v>18</v>
      </c>
      <c r="C20" s="2" t="s">
        <v>19</v>
      </c>
      <c r="D20" s="2"/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23</v>
      </c>
      <c r="J20" s="2" t="s">
        <v>24</v>
      </c>
      <c r="K20" s="2" t="s">
        <v>22</v>
      </c>
      <c r="L20" s="2" t="s">
        <v>24</v>
      </c>
      <c r="M20" s="2" t="s">
        <v>25</v>
      </c>
      <c r="N20" s="3" t="s">
        <v>25</v>
      </c>
      <c r="O20" s="3" t="s">
        <v>26</v>
      </c>
      <c r="P20" s="3" t="s">
        <v>26</v>
      </c>
      <c r="Q20" s="21" t="s">
        <v>28</v>
      </c>
    </row>
    <row r="21" spans="2:17" ht="15.75" x14ac:dyDescent="0.25">
      <c r="B21" s="20">
        <v>60</v>
      </c>
      <c r="C21" s="4" t="s">
        <v>46</v>
      </c>
      <c r="D21" s="4" t="s">
        <v>29</v>
      </c>
      <c r="E21" s="2" t="s">
        <v>30</v>
      </c>
      <c r="F21" s="2">
        <v>1.4</v>
      </c>
      <c r="G21" s="2">
        <v>80</v>
      </c>
      <c r="H21" s="5">
        <f>I21*100/G21</f>
        <v>375</v>
      </c>
      <c r="I21" s="2">
        <v>300</v>
      </c>
      <c r="J21" s="6">
        <f>1/(I21/(10*G21))</f>
        <v>2.6666666666666665</v>
      </c>
      <c r="K21" s="2">
        <v>30</v>
      </c>
      <c r="L21" s="6">
        <f>J21-(J21/100*K21)</f>
        <v>1.8666666666666667</v>
      </c>
      <c r="M21" s="7">
        <v>490</v>
      </c>
      <c r="N21" s="8">
        <f>M21*F21</f>
        <v>686</v>
      </c>
      <c r="O21" s="26">
        <f>B21/J21</f>
        <v>22.5</v>
      </c>
      <c r="P21" s="27">
        <f>B21/L21</f>
        <v>32.142857142857139</v>
      </c>
      <c r="Q21" s="22">
        <f>P21*M21</f>
        <v>15749.999999999998</v>
      </c>
    </row>
    <row r="22" spans="2:17" ht="31.5" hidden="1" x14ac:dyDescent="0.25">
      <c r="B22" s="20">
        <v>1</v>
      </c>
      <c r="C22" s="4" t="s">
        <v>31</v>
      </c>
      <c r="D22" s="4" t="s">
        <v>32</v>
      </c>
      <c r="E22" s="11" t="s">
        <v>30</v>
      </c>
      <c r="F22" s="2">
        <v>1.4</v>
      </c>
      <c r="G22" s="2">
        <v>63</v>
      </c>
      <c r="H22" s="5">
        <f>I22*100/G22</f>
        <v>79.365079365079367</v>
      </c>
      <c r="I22" s="2">
        <v>50</v>
      </c>
      <c r="J22" s="6">
        <f>1/(I22/(10*G22))</f>
        <v>12.600000000000001</v>
      </c>
      <c r="K22" s="2">
        <v>0</v>
      </c>
      <c r="L22" s="6">
        <f>J22-(J22/100*K22)</f>
        <v>12.600000000000001</v>
      </c>
      <c r="M22" s="7">
        <v>739</v>
      </c>
      <c r="N22" s="8">
        <f>M22*F22</f>
        <v>1034.5999999999999</v>
      </c>
      <c r="O22" s="26">
        <f>B22/L22</f>
        <v>7.9365079365079361E-2</v>
      </c>
      <c r="P22" s="26">
        <f>F22*O22</f>
        <v>0.11111111111111109</v>
      </c>
      <c r="Q22" s="22">
        <f>P22*M22</f>
        <v>82.1111111111111</v>
      </c>
    </row>
    <row r="23" spans="2:17" ht="15.75" x14ac:dyDescent="0.25">
      <c r="B23" s="420" t="s">
        <v>33</v>
      </c>
      <c r="C23" s="363"/>
      <c r="D23" s="363"/>
      <c r="E23" s="363"/>
      <c r="F23" s="2">
        <v>0.9</v>
      </c>
      <c r="G23" s="363">
        <v>5</v>
      </c>
      <c r="H23" s="363"/>
      <c r="I23" s="363"/>
      <c r="J23" s="363"/>
      <c r="K23" s="2"/>
      <c r="L23" s="2"/>
      <c r="M23" s="4">
        <v>423</v>
      </c>
      <c r="N23" s="12">
        <v>423</v>
      </c>
      <c r="O23" s="28">
        <f>O21*0.1</f>
        <v>2.25</v>
      </c>
      <c r="P23" s="26">
        <f>F23*O23</f>
        <v>2.0249999999999999</v>
      </c>
      <c r="Q23" s="22">
        <f>O23*M23</f>
        <v>951.75</v>
      </c>
    </row>
    <row r="24" spans="2:17" ht="15.75" hidden="1" x14ac:dyDescent="0.25">
      <c r="B24" s="420" t="s">
        <v>34</v>
      </c>
      <c r="C24" s="363"/>
      <c r="D24" s="363"/>
      <c r="E24" s="363"/>
      <c r="F24" s="2">
        <v>0.9</v>
      </c>
      <c r="G24" s="363">
        <v>10</v>
      </c>
      <c r="H24" s="363"/>
      <c r="I24" s="363"/>
      <c r="J24" s="363"/>
      <c r="K24" s="2"/>
      <c r="L24" s="2"/>
      <c r="M24" s="4">
        <v>423</v>
      </c>
      <c r="N24" s="12">
        <v>423</v>
      </c>
      <c r="O24" s="13">
        <f>O22*(G24/100)</f>
        <v>7.9365079365079361E-3</v>
      </c>
      <c r="P24" s="9">
        <f>F24*O24</f>
        <v>7.1428571428571426E-3</v>
      </c>
      <c r="Q24" s="22">
        <f>O24*M24</f>
        <v>3.3571428571428568</v>
      </c>
    </row>
    <row r="25" spans="2:17" ht="15.75" x14ac:dyDescent="0.25">
      <c r="B25" s="20"/>
      <c r="C25" s="363" t="s">
        <v>35</v>
      </c>
      <c r="D25" s="363"/>
      <c r="E25" s="363"/>
      <c r="F25" s="363"/>
      <c r="G25" s="363"/>
      <c r="H25" s="363"/>
      <c r="I25" s="2">
        <v>300</v>
      </c>
      <c r="J25" s="363"/>
      <c r="K25" s="363"/>
      <c r="L25" s="363"/>
      <c r="M25" s="363"/>
      <c r="N25" s="363"/>
      <c r="O25" s="363"/>
      <c r="P25" s="363"/>
      <c r="Q25" s="22">
        <f>SUM(Q21:Q24)</f>
        <v>16787.218253968251</v>
      </c>
    </row>
    <row r="26" spans="2:17" ht="40.5" customHeight="1" thickBot="1" x14ac:dyDescent="0.3">
      <c r="B26" s="469" t="s">
        <v>61</v>
      </c>
      <c r="C26" s="470"/>
      <c r="D26" s="470"/>
      <c r="E26" s="470"/>
      <c r="F26" s="470"/>
      <c r="G26" s="470"/>
      <c r="H26" s="470"/>
      <c r="I26" s="470"/>
      <c r="J26" s="470"/>
      <c r="K26" s="470"/>
      <c r="L26" s="470"/>
      <c r="M26" s="470"/>
      <c r="N26" s="470"/>
      <c r="O26" s="470"/>
      <c r="P26" s="470"/>
      <c r="Q26" s="29"/>
    </row>
  </sheetData>
  <mergeCells count="52">
    <mergeCell ref="B2:Q2"/>
    <mergeCell ref="B3:B5"/>
    <mergeCell ref="C3:C5"/>
    <mergeCell ref="D3:D5"/>
    <mergeCell ref="E3:E5"/>
    <mergeCell ref="F3:F5"/>
    <mergeCell ref="G3:G5"/>
    <mergeCell ref="H3:I3"/>
    <mergeCell ref="J3:L3"/>
    <mergeCell ref="M3:M5"/>
    <mergeCell ref="N3:N5"/>
    <mergeCell ref="O3:O5"/>
    <mergeCell ref="P3:P5"/>
    <mergeCell ref="Q3:Q5"/>
    <mergeCell ref="H4:H5"/>
    <mergeCell ref="I4:I5"/>
    <mergeCell ref="J4:J5"/>
    <mergeCell ref="K4:K5"/>
    <mergeCell ref="L4:L5"/>
    <mergeCell ref="B9:E9"/>
    <mergeCell ref="G9:J9"/>
    <mergeCell ref="B12:P12"/>
    <mergeCell ref="B10:E10"/>
    <mergeCell ref="G10:J10"/>
    <mergeCell ref="C11:H11"/>
    <mergeCell ref="J11:P11"/>
    <mergeCell ref="C25:H25"/>
    <mergeCell ref="J25:P25"/>
    <mergeCell ref="J18:J19"/>
    <mergeCell ref="K18:K19"/>
    <mergeCell ref="L18:L19"/>
    <mergeCell ref="I18:I19"/>
    <mergeCell ref="B23:E23"/>
    <mergeCell ref="G23:J23"/>
    <mergeCell ref="B24:E24"/>
    <mergeCell ref="G24:J24"/>
    <mergeCell ref="B26:P26"/>
    <mergeCell ref="B16:Q16"/>
    <mergeCell ref="B17:B19"/>
    <mergeCell ref="C17:C19"/>
    <mergeCell ref="D17:D19"/>
    <mergeCell ref="E17:E19"/>
    <mergeCell ref="F17:F19"/>
    <mergeCell ref="G17:G19"/>
    <mergeCell ref="H17:I17"/>
    <mergeCell ref="J17:L17"/>
    <mergeCell ref="M17:M19"/>
    <mergeCell ref="N17:N19"/>
    <mergeCell ref="O17:O19"/>
    <mergeCell ref="P17:P19"/>
    <mergeCell ref="Q17:Q19"/>
    <mergeCell ref="H18:H19"/>
  </mergeCells>
  <pageMargins left="0.7" right="0.7" top="0.75" bottom="0.75" header="0.3" footer="0.3"/>
  <pageSetup paperSize="9" scale="7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0"/>
  <sheetViews>
    <sheetView topLeftCell="A51" zoomScale="85" zoomScaleNormal="85" workbookViewId="0">
      <selection activeCell="I20" sqref="I20"/>
    </sheetView>
  </sheetViews>
  <sheetFormatPr defaultColWidth="9.140625" defaultRowHeight="15" x14ac:dyDescent="0.25"/>
  <cols>
    <col min="1" max="1" width="9.140625" style="53"/>
    <col min="2" max="2" width="14.5703125" style="53" customWidth="1"/>
    <col min="3" max="4" width="13.42578125" style="53" customWidth="1"/>
    <col min="5" max="5" width="16.7109375" style="53" customWidth="1"/>
    <col min="6" max="6" width="13.85546875" style="53" customWidth="1"/>
    <col min="7" max="7" width="17.140625" style="53" customWidth="1"/>
    <col min="8" max="8" width="19" style="53" customWidth="1"/>
    <col min="9" max="16384" width="9.140625" style="53"/>
  </cols>
  <sheetData>
    <row r="1" spans="1:8" ht="15.75" thickBot="1" x14ac:dyDescent="0.3"/>
    <row r="2" spans="1:8" ht="15.75" thickBot="1" x14ac:dyDescent="0.3">
      <c r="A2" s="485" t="s">
        <v>109</v>
      </c>
      <c r="B2" s="486"/>
      <c r="C2" s="486"/>
      <c r="D2" s="486"/>
      <c r="E2" s="486"/>
      <c r="F2" s="486"/>
      <c r="G2" s="486"/>
      <c r="H2" s="487"/>
    </row>
    <row r="3" spans="1:8" ht="30" customHeight="1" x14ac:dyDescent="0.25">
      <c r="A3" s="475" t="s">
        <v>110</v>
      </c>
      <c r="B3" s="476"/>
      <c r="C3" s="476"/>
      <c r="D3" s="476"/>
      <c r="E3" s="476"/>
      <c r="F3" s="476"/>
      <c r="G3" s="476"/>
      <c r="H3" s="477"/>
    </row>
    <row r="4" spans="1:8" ht="15.75" thickBot="1" x14ac:dyDescent="0.3">
      <c r="A4" s="478" t="s">
        <v>111</v>
      </c>
      <c r="B4" s="479"/>
      <c r="C4" s="479"/>
      <c r="D4" s="479"/>
      <c r="E4" s="479"/>
      <c r="F4" s="479"/>
      <c r="G4" s="479"/>
      <c r="H4" s="480"/>
    </row>
    <row r="5" spans="1:8" ht="45.75" thickBot="1" x14ac:dyDescent="0.3">
      <c r="A5" s="44" t="s">
        <v>71</v>
      </c>
      <c r="B5" s="45" t="s">
        <v>1</v>
      </c>
      <c r="C5" s="45" t="s">
        <v>4</v>
      </c>
      <c r="D5" s="45" t="s">
        <v>5</v>
      </c>
      <c r="E5" s="45" t="s">
        <v>72</v>
      </c>
      <c r="F5" s="45" t="s">
        <v>112</v>
      </c>
      <c r="G5" s="45" t="s">
        <v>113</v>
      </c>
      <c r="H5" s="45" t="s">
        <v>129</v>
      </c>
    </row>
    <row r="6" spans="1:8" ht="15.75" thickBot="1" x14ac:dyDescent="0.3">
      <c r="A6" s="44"/>
      <c r="B6" s="45"/>
      <c r="C6" s="45" t="s">
        <v>21</v>
      </c>
      <c r="D6" s="45" t="s">
        <v>22</v>
      </c>
      <c r="E6" s="45" t="s">
        <v>23</v>
      </c>
      <c r="F6" s="51" t="s">
        <v>114</v>
      </c>
      <c r="G6" s="45" t="s">
        <v>115</v>
      </c>
      <c r="H6" s="45" t="s">
        <v>76</v>
      </c>
    </row>
    <row r="7" spans="1:8" ht="29.25" thickBot="1" x14ac:dyDescent="0.3">
      <c r="A7" s="481">
        <v>1</v>
      </c>
      <c r="B7" s="52" t="s">
        <v>126</v>
      </c>
      <c r="C7" s="52">
        <v>1.57</v>
      </c>
      <c r="D7" s="52">
        <v>63</v>
      </c>
      <c r="E7" s="52">
        <v>150</v>
      </c>
      <c r="F7" s="483" t="s">
        <v>127</v>
      </c>
      <c r="G7" s="483">
        <v>15</v>
      </c>
      <c r="H7" s="483"/>
    </row>
    <row r="8" spans="1:8" ht="29.25" thickBot="1" x14ac:dyDescent="0.3">
      <c r="A8" s="482"/>
      <c r="B8" s="52" t="s">
        <v>126</v>
      </c>
      <c r="C8" s="52">
        <v>1.57</v>
      </c>
      <c r="D8" s="52">
        <v>63</v>
      </c>
      <c r="E8" s="52">
        <v>150</v>
      </c>
      <c r="F8" s="484"/>
      <c r="G8" s="484"/>
      <c r="H8" s="484"/>
    </row>
    <row r="9" spans="1:8" ht="15.75" thickBot="1" x14ac:dyDescent="0.3">
      <c r="A9" s="54"/>
    </row>
    <row r="10" spans="1:8" ht="15" customHeight="1" x14ac:dyDescent="0.25">
      <c r="A10" s="475" t="s">
        <v>116</v>
      </c>
      <c r="B10" s="476"/>
      <c r="C10" s="476"/>
      <c r="D10" s="476"/>
      <c r="E10" s="476"/>
      <c r="F10" s="476"/>
      <c r="G10" s="476"/>
      <c r="H10" s="477"/>
    </row>
    <row r="11" spans="1:8" ht="15.75" thickBot="1" x14ac:dyDescent="0.3">
      <c r="A11" s="478" t="s">
        <v>117</v>
      </c>
      <c r="B11" s="479"/>
      <c r="C11" s="479"/>
      <c r="D11" s="479"/>
      <c r="E11" s="479"/>
      <c r="F11" s="479"/>
      <c r="G11" s="479"/>
      <c r="H11" s="480"/>
    </row>
    <row r="12" spans="1:8" ht="45.75" thickBot="1" x14ac:dyDescent="0.3">
      <c r="A12" s="44" t="s">
        <v>71</v>
      </c>
      <c r="B12" s="45" t="s">
        <v>1</v>
      </c>
      <c r="C12" s="45" t="s">
        <v>4</v>
      </c>
      <c r="D12" s="45" t="s">
        <v>5</v>
      </c>
      <c r="E12" s="45" t="s">
        <v>72</v>
      </c>
      <c r="F12" s="45" t="s">
        <v>112</v>
      </c>
      <c r="G12" s="45" t="s">
        <v>113</v>
      </c>
      <c r="H12" s="45" t="s">
        <v>129</v>
      </c>
    </row>
    <row r="13" spans="1:8" ht="15.75" thickBot="1" x14ac:dyDescent="0.3">
      <c r="A13" s="44"/>
      <c r="B13" s="45"/>
      <c r="C13" s="45" t="s">
        <v>21</v>
      </c>
      <c r="D13" s="45" t="s">
        <v>22</v>
      </c>
      <c r="E13" s="45" t="s">
        <v>23</v>
      </c>
      <c r="F13" s="51" t="s">
        <v>114</v>
      </c>
      <c r="G13" s="45" t="s">
        <v>115</v>
      </c>
      <c r="H13" s="45" t="s">
        <v>76</v>
      </c>
    </row>
    <row r="14" spans="1:8" ht="29.25" thickBot="1" x14ac:dyDescent="0.3">
      <c r="A14" s="481">
        <v>1</v>
      </c>
      <c r="B14" s="52" t="s">
        <v>123</v>
      </c>
      <c r="C14" s="52">
        <v>1.6</v>
      </c>
      <c r="D14" s="52">
        <v>74</v>
      </c>
      <c r="E14" s="52">
        <v>120</v>
      </c>
      <c r="F14" s="483" t="s">
        <v>125</v>
      </c>
      <c r="G14" s="483">
        <v>22</v>
      </c>
      <c r="H14" s="483">
        <v>273</v>
      </c>
    </row>
    <row r="15" spans="1:8" ht="43.5" thickBot="1" x14ac:dyDescent="0.3">
      <c r="A15" s="482"/>
      <c r="B15" s="52" t="s">
        <v>124</v>
      </c>
      <c r="C15" s="52">
        <v>1.4</v>
      </c>
      <c r="D15" s="52">
        <v>63</v>
      </c>
      <c r="E15" s="52">
        <v>60</v>
      </c>
      <c r="F15" s="484"/>
      <c r="G15" s="484"/>
      <c r="H15" s="484"/>
    </row>
    <row r="16" spans="1:8" x14ac:dyDescent="0.25">
      <c r="A16" s="54"/>
    </row>
    <row r="17" spans="1:8" ht="15.75" thickBot="1" x14ac:dyDescent="0.3">
      <c r="A17" s="54"/>
    </row>
    <row r="18" spans="1:8" ht="15" customHeight="1" x14ac:dyDescent="0.25">
      <c r="A18" s="475" t="s">
        <v>118</v>
      </c>
      <c r="B18" s="476"/>
      <c r="C18" s="476"/>
      <c r="D18" s="476"/>
      <c r="E18" s="476"/>
      <c r="F18" s="476"/>
      <c r="G18" s="476"/>
      <c r="H18" s="477"/>
    </row>
    <row r="19" spans="1:8" ht="15.75" thickBot="1" x14ac:dyDescent="0.3">
      <c r="A19" s="478" t="s">
        <v>117</v>
      </c>
      <c r="B19" s="479"/>
      <c r="C19" s="479"/>
      <c r="D19" s="479"/>
      <c r="E19" s="479"/>
      <c r="F19" s="479"/>
      <c r="G19" s="479"/>
      <c r="H19" s="480"/>
    </row>
    <row r="20" spans="1:8" ht="45.75" thickBot="1" x14ac:dyDescent="0.3">
      <c r="A20" s="44" t="s">
        <v>71</v>
      </c>
      <c r="B20" s="45" t="s">
        <v>1</v>
      </c>
      <c r="C20" s="45" t="s">
        <v>4</v>
      </c>
      <c r="D20" s="45" t="s">
        <v>5</v>
      </c>
      <c r="E20" s="45" t="s">
        <v>72</v>
      </c>
      <c r="F20" s="45" t="s">
        <v>112</v>
      </c>
      <c r="G20" s="45" t="s">
        <v>113</v>
      </c>
      <c r="H20" s="45" t="s">
        <v>129</v>
      </c>
    </row>
    <row r="21" spans="1:8" ht="15.75" thickBot="1" x14ac:dyDescent="0.3">
      <c r="A21" s="44"/>
      <c r="B21" s="45"/>
      <c r="C21" s="45" t="s">
        <v>21</v>
      </c>
      <c r="D21" s="45" t="s">
        <v>22</v>
      </c>
      <c r="E21" s="45" t="s">
        <v>23</v>
      </c>
      <c r="F21" s="51" t="s">
        <v>114</v>
      </c>
      <c r="G21" s="45" t="s">
        <v>115</v>
      </c>
      <c r="H21" s="45" t="s">
        <v>76</v>
      </c>
    </row>
    <row r="22" spans="1:8" ht="29.25" thickBot="1" x14ac:dyDescent="0.3">
      <c r="A22" s="481">
        <v>1</v>
      </c>
      <c r="B22" s="52" t="s">
        <v>123</v>
      </c>
      <c r="C22" s="52">
        <v>1.6</v>
      </c>
      <c r="D22" s="52">
        <v>74</v>
      </c>
      <c r="E22" s="52">
        <v>120</v>
      </c>
      <c r="F22" s="483" t="s">
        <v>125</v>
      </c>
      <c r="G22" s="483">
        <v>22</v>
      </c>
      <c r="H22" s="483">
        <v>273</v>
      </c>
    </row>
    <row r="23" spans="1:8" ht="43.5" thickBot="1" x14ac:dyDescent="0.3">
      <c r="A23" s="482"/>
      <c r="B23" s="52" t="s">
        <v>124</v>
      </c>
      <c r="C23" s="52">
        <v>1.4</v>
      </c>
      <c r="D23" s="52">
        <v>63</v>
      </c>
      <c r="E23" s="52">
        <v>60</v>
      </c>
      <c r="F23" s="484"/>
      <c r="G23" s="484"/>
      <c r="H23" s="484"/>
    </row>
    <row r="24" spans="1:8" ht="15.75" thickBot="1" x14ac:dyDescent="0.3">
      <c r="A24" s="54"/>
    </row>
    <row r="25" spans="1:8" ht="15" customHeight="1" x14ac:dyDescent="0.25">
      <c r="A25" s="475" t="s">
        <v>119</v>
      </c>
      <c r="B25" s="476"/>
      <c r="C25" s="476"/>
      <c r="D25" s="476"/>
      <c r="E25" s="476"/>
      <c r="F25" s="476"/>
      <c r="G25" s="476"/>
      <c r="H25" s="477"/>
    </row>
    <row r="26" spans="1:8" ht="15.75" thickBot="1" x14ac:dyDescent="0.3">
      <c r="A26" s="478" t="s">
        <v>117</v>
      </c>
      <c r="B26" s="479"/>
      <c r="C26" s="479"/>
      <c r="D26" s="479"/>
      <c r="E26" s="479"/>
      <c r="F26" s="479"/>
      <c r="G26" s="479"/>
      <c r="H26" s="480"/>
    </row>
    <row r="27" spans="1:8" ht="45.75" thickBot="1" x14ac:dyDescent="0.3">
      <c r="A27" s="44" t="s">
        <v>71</v>
      </c>
      <c r="B27" s="45" t="s">
        <v>1</v>
      </c>
      <c r="C27" s="45" t="s">
        <v>4</v>
      </c>
      <c r="D27" s="45" t="s">
        <v>5</v>
      </c>
      <c r="E27" s="45" t="s">
        <v>72</v>
      </c>
      <c r="F27" s="45" t="s">
        <v>112</v>
      </c>
      <c r="G27" s="45" t="s">
        <v>113</v>
      </c>
      <c r="H27" s="45" t="s">
        <v>129</v>
      </c>
    </row>
    <row r="28" spans="1:8" ht="15.75" thickBot="1" x14ac:dyDescent="0.3">
      <c r="A28" s="44"/>
      <c r="B28" s="45"/>
      <c r="C28" s="45" t="s">
        <v>21</v>
      </c>
      <c r="D28" s="45" t="s">
        <v>22</v>
      </c>
      <c r="E28" s="45" t="s">
        <v>23</v>
      </c>
      <c r="F28" s="51" t="s">
        <v>114</v>
      </c>
      <c r="G28" s="45" t="s">
        <v>115</v>
      </c>
      <c r="H28" s="45" t="s">
        <v>76</v>
      </c>
    </row>
    <row r="29" spans="1:8" ht="29.25" thickBot="1" x14ac:dyDescent="0.3">
      <c r="A29" s="481">
        <v>1</v>
      </c>
      <c r="B29" s="52" t="s">
        <v>65</v>
      </c>
      <c r="C29" s="52">
        <v>1.6</v>
      </c>
      <c r="D29" s="52">
        <v>74</v>
      </c>
      <c r="E29" s="52">
        <v>150</v>
      </c>
      <c r="F29" s="483" t="s">
        <v>125</v>
      </c>
      <c r="G29" s="483">
        <v>20</v>
      </c>
      <c r="H29" s="483">
        <v>194</v>
      </c>
    </row>
    <row r="30" spans="1:8" ht="15.75" thickBot="1" x14ac:dyDescent="0.3">
      <c r="A30" s="482"/>
      <c r="B30" s="52"/>
      <c r="C30" s="52"/>
      <c r="D30" s="52"/>
      <c r="E30" s="52"/>
      <c r="F30" s="484"/>
      <c r="G30" s="484"/>
      <c r="H30" s="484"/>
    </row>
    <row r="31" spans="1:8" ht="15.75" thickBot="1" x14ac:dyDescent="0.3">
      <c r="A31" s="54"/>
    </row>
    <row r="32" spans="1:8" ht="15" customHeight="1" x14ac:dyDescent="0.25">
      <c r="A32" s="475" t="s">
        <v>120</v>
      </c>
      <c r="B32" s="476"/>
      <c r="C32" s="476"/>
      <c r="D32" s="476"/>
      <c r="E32" s="476"/>
      <c r="F32" s="476"/>
      <c r="G32" s="476"/>
      <c r="H32" s="477"/>
    </row>
    <row r="33" spans="1:8" ht="15.75" thickBot="1" x14ac:dyDescent="0.3">
      <c r="A33" s="478" t="s">
        <v>121</v>
      </c>
      <c r="B33" s="479"/>
      <c r="C33" s="479"/>
      <c r="D33" s="479"/>
      <c r="E33" s="479"/>
      <c r="F33" s="479"/>
      <c r="G33" s="479"/>
      <c r="H33" s="480"/>
    </row>
    <row r="34" spans="1:8" ht="45.75" thickBot="1" x14ac:dyDescent="0.3">
      <c r="A34" s="44" t="s">
        <v>71</v>
      </c>
      <c r="B34" s="45" t="s">
        <v>1</v>
      </c>
      <c r="C34" s="45" t="s">
        <v>4</v>
      </c>
      <c r="D34" s="45" t="s">
        <v>5</v>
      </c>
      <c r="E34" s="45" t="s">
        <v>72</v>
      </c>
      <c r="F34" s="45" t="s">
        <v>112</v>
      </c>
      <c r="G34" s="45" t="s">
        <v>113</v>
      </c>
      <c r="H34" s="45" t="s">
        <v>129</v>
      </c>
    </row>
    <row r="35" spans="1:8" ht="15.75" thickBot="1" x14ac:dyDescent="0.3">
      <c r="A35" s="44"/>
      <c r="B35" s="45"/>
      <c r="C35" s="45" t="s">
        <v>21</v>
      </c>
      <c r="D35" s="45" t="s">
        <v>22</v>
      </c>
      <c r="E35" s="45" t="s">
        <v>23</v>
      </c>
      <c r="F35" s="51" t="s">
        <v>114</v>
      </c>
      <c r="G35" s="45" t="s">
        <v>115</v>
      </c>
      <c r="H35" s="45" t="s">
        <v>76</v>
      </c>
    </row>
    <row r="36" spans="1:8" ht="29.25" thickBot="1" x14ac:dyDescent="0.3">
      <c r="A36" s="481">
        <v>1</v>
      </c>
      <c r="B36" s="52" t="s">
        <v>126</v>
      </c>
      <c r="C36" s="52">
        <v>1.57</v>
      </c>
      <c r="D36" s="52">
        <v>63</v>
      </c>
      <c r="E36" s="52">
        <v>150</v>
      </c>
      <c r="F36" s="483" t="s">
        <v>128</v>
      </c>
      <c r="G36" s="483">
        <v>15</v>
      </c>
      <c r="H36" s="483"/>
    </row>
    <row r="37" spans="1:8" ht="15.75" thickBot="1" x14ac:dyDescent="0.3">
      <c r="A37" s="482"/>
      <c r="B37" s="52"/>
      <c r="C37" s="52"/>
      <c r="D37" s="52"/>
      <c r="E37" s="52"/>
      <c r="F37" s="484"/>
      <c r="G37" s="484"/>
      <c r="H37" s="484"/>
    </row>
    <row r="38" spans="1:8" x14ac:dyDescent="0.25">
      <c r="A38" s="54"/>
    </row>
    <row r="39" spans="1:8" ht="15" customHeight="1" thickBot="1" x14ac:dyDescent="0.3">
      <c r="A39" s="54"/>
    </row>
    <row r="40" spans="1:8" ht="15.75" customHeight="1" x14ac:dyDescent="0.25">
      <c r="A40" s="475" t="s">
        <v>131</v>
      </c>
      <c r="B40" s="476"/>
      <c r="C40" s="476"/>
      <c r="D40" s="476"/>
      <c r="E40" s="476"/>
      <c r="F40" s="476"/>
      <c r="G40" s="476"/>
      <c r="H40" s="477"/>
    </row>
    <row r="41" spans="1:8" ht="15.75" thickBot="1" x14ac:dyDescent="0.3">
      <c r="A41" s="478" t="s">
        <v>122</v>
      </c>
      <c r="B41" s="479"/>
      <c r="C41" s="479"/>
      <c r="D41" s="479"/>
      <c r="E41" s="479"/>
      <c r="F41" s="479"/>
      <c r="G41" s="479"/>
      <c r="H41" s="480"/>
    </row>
    <row r="42" spans="1:8" ht="45.75" thickBot="1" x14ac:dyDescent="0.3">
      <c r="A42" s="44" t="s">
        <v>71</v>
      </c>
      <c r="B42" s="45" t="s">
        <v>1</v>
      </c>
      <c r="C42" s="45" t="s">
        <v>4</v>
      </c>
      <c r="D42" s="45" t="s">
        <v>5</v>
      </c>
      <c r="E42" s="45" t="s">
        <v>72</v>
      </c>
      <c r="F42" s="45" t="s">
        <v>112</v>
      </c>
      <c r="G42" s="45" t="s">
        <v>113</v>
      </c>
      <c r="H42" s="45" t="s">
        <v>129</v>
      </c>
    </row>
    <row r="43" spans="1:8" ht="15.75" thickBot="1" x14ac:dyDescent="0.3">
      <c r="A43" s="44"/>
      <c r="B43" s="45"/>
      <c r="C43" s="45" t="s">
        <v>21</v>
      </c>
      <c r="D43" s="45" t="s">
        <v>22</v>
      </c>
      <c r="E43" s="45" t="s">
        <v>23</v>
      </c>
      <c r="F43" s="51" t="s">
        <v>114</v>
      </c>
      <c r="G43" s="45" t="s">
        <v>115</v>
      </c>
      <c r="H43" s="45" t="s">
        <v>76</v>
      </c>
    </row>
    <row r="44" spans="1:8" ht="29.25" thickBot="1" x14ac:dyDescent="0.3">
      <c r="A44" s="481">
        <v>1</v>
      </c>
      <c r="B44" s="52" t="s">
        <v>65</v>
      </c>
      <c r="C44" s="52">
        <v>1.6</v>
      </c>
      <c r="D44" s="52">
        <v>74</v>
      </c>
      <c r="E44" s="52">
        <v>120</v>
      </c>
      <c r="F44" s="483">
        <v>120</v>
      </c>
      <c r="G44" s="483">
        <v>22</v>
      </c>
      <c r="H44" s="483">
        <v>273</v>
      </c>
    </row>
    <row r="45" spans="1:8" ht="43.5" thickBot="1" x14ac:dyDescent="0.3">
      <c r="A45" s="482"/>
      <c r="B45" s="52" t="s">
        <v>124</v>
      </c>
      <c r="C45" s="52">
        <v>1.4</v>
      </c>
      <c r="D45" s="52">
        <v>63</v>
      </c>
      <c r="E45" s="52">
        <v>60</v>
      </c>
      <c r="F45" s="484"/>
      <c r="G45" s="484"/>
      <c r="H45" s="484"/>
    </row>
    <row r="46" spans="1:8" ht="15" customHeight="1" thickBot="1" x14ac:dyDescent="0.3">
      <c r="A46" s="54"/>
    </row>
    <row r="47" spans="1:8" x14ac:dyDescent="0.25">
      <c r="A47" s="475" t="s">
        <v>130</v>
      </c>
      <c r="B47" s="476"/>
      <c r="C47" s="476"/>
      <c r="D47" s="476"/>
      <c r="E47" s="476"/>
      <c r="F47" s="476"/>
      <c r="G47" s="476"/>
      <c r="H47" s="477"/>
    </row>
    <row r="48" spans="1:8" ht="15.75" thickBot="1" x14ac:dyDescent="0.3">
      <c r="A48" s="478" t="s">
        <v>117</v>
      </c>
      <c r="B48" s="479"/>
      <c r="C48" s="479"/>
      <c r="D48" s="479"/>
      <c r="E48" s="479"/>
      <c r="F48" s="479"/>
      <c r="G48" s="479"/>
      <c r="H48" s="480"/>
    </row>
    <row r="49" spans="1:8" ht="45.75" thickBot="1" x14ac:dyDescent="0.3">
      <c r="A49" s="44" t="s">
        <v>71</v>
      </c>
      <c r="B49" s="45" t="s">
        <v>1</v>
      </c>
      <c r="C49" s="45" t="s">
        <v>4</v>
      </c>
      <c r="D49" s="45" t="s">
        <v>5</v>
      </c>
      <c r="E49" s="45" t="s">
        <v>72</v>
      </c>
      <c r="F49" s="45" t="s">
        <v>112</v>
      </c>
      <c r="G49" s="45" t="s">
        <v>113</v>
      </c>
      <c r="H49" s="45" t="s">
        <v>129</v>
      </c>
    </row>
    <row r="50" spans="1:8" ht="15.75" thickBot="1" x14ac:dyDescent="0.3">
      <c r="A50" s="44"/>
      <c r="B50" s="45"/>
      <c r="C50" s="45" t="s">
        <v>21</v>
      </c>
      <c r="D50" s="45" t="s">
        <v>22</v>
      </c>
      <c r="E50" s="45" t="s">
        <v>23</v>
      </c>
      <c r="F50" s="51" t="s">
        <v>114</v>
      </c>
      <c r="G50" s="45" t="s">
        <v>115</v>
      </c>
      <c r="H50" s="45" t="s">
        <v>76</v>
      </c>
    </row>
    <row r="51" spans="1:8" ht="29.25" thickBot="1" x14ac:dyDescent="0.3">
      <c r="A51" s="481">
        <v>1</v>
      </c>
      <c r="B51" s="52" t="s">
        <v>65</v>
      </c>
      <c r="C51" s="52">
        <v>1.6</v>
      </c>
      <c r="D51" s="52">
        <v>74</v>
      </c>
      <c r="E51" s="52">
        <v>120</v>
      </c>
      <c r="F51" s="483">
        <v>120</v>
      </c>
      <c r="G51" s="483">
        <v>22</v>
      </c>
      <c r="H51" s="483">
        <v>273</v>
      </c>
    </row>
    <row r="52" spans="1:8" ht="43.5" thickBot="1" x14ac:dyDescent="0.3">
      <c r="A52" s="482"/>
      <c r="B52" s="52" t="s">
        <v>124</v>
      </c>
      <c r="C52" s="52">
        <v>1.4</v>
      </c>
      <c r="D52" s="52">
        <v>63</v>
      </c>
      <c r="E52" s="52">
        <v>60</v>
      </c>
      <c r="F52" s="484"/>
      <c r="G52" s="484"/>
      <c r="H52" s="484"/>
    </row>
    <row r="53" spans="1:8" ht="15" customHeight="1" x14ac:dyDescent="0.25">
      <c r="A53" s="54"/>
    </row>
    <row r="54" spans="1:8" ht="15.75" customHeight="1" x14ac:dyDescent="0.25">
      <c r="A54" s="54"/>
    </row>
    <row r="60" spans="1:8" ht="15" customHeight="1" x14ac:dyDescent="0.25"/>
    <row r="61" spans="1:8" ht="15.75" customHeight="1" x14ac:dyDescent="0.25"/>
    <row r="67" ht="15" customHeight="1" x14ac:dyDescent="0.25"/>
    <row r="74" ht="15" customHeight="1" x14ac:dyDescent="0.25"/>
    <row r="75" ht="15.75" customHeight="1" x14ac:dyDescent="0.25"/>
    <row r="81" ht="15" customHeight="1" x14ac:dyDescent="0.25"/>
    <row r="82" ht="15.75" customHeight="1" x14ac:dyDescent="0.25"/>
    <row r="88" ht="15" customHeight="1" x14ac:dyDescent="0.25"/>
    <row r="89" ht="15.75" customHeight="1" x14ac:dyDescent="0.25"/>
    <row r="95" ht="15" customHeight="1" x14ac:dyDescent="0.25"/>
    <row r="96" ht="15.75" customHeight="1" x14ac:dyDescent="0.25"/>
    <row r="102" ht="30.75" customHeight="1" x14ac:dyDescent="0.25"/>
    <row r="103" ht="15.75" customHeight="1" x14ac:dyDescent="0.25"/>
    <row r="109" ht="31.5" customHeight="1" x14ac:dyDescent="0.25"/>
    <row r="110" ht="15.75" customHeight="1" x14ac:dyDescent="0.25"/>
  </sheetData>
  <mergeCells count="43">
    <mergeCell ref="A2:H2"/>
    <mergeCell ref="A3:H3"/>
    <mergeCell ref="A4:H4"/>
    <mergeCell ref="A7:A8"/>
    <mergeCell ref="F7:F8"/>
    <mergeCell ref="G7:G8"/>
    <mergeCell ref="H7:H8"/>
    <mergeCell ref="A10:H10"/>
    <mergeCell ref="A11:H11"/>
    <mergeCell ref="A14:A15"/>
    <mergeCell ref="F14:F15"/>
    <mergeCell ref="G14:G15"/>
    <mergeCell ref="H14:H15"/>
    <mergeCell ref="A18:H18"/>
    <mergeCell ref="A19:H19"/>
    <mergeCell ref="A22:A23"/>
    <mergeCell ref="F22:F23"/>
    <mergeCell ref="G22:G23"/>
    <mergeCell ref="H22:H23"/>
    <mergeCell ref="A25:H25"/>
    <mergeCell ref="A26:H26"/>
    <mergeCell ref="A29:A30"/>
    <mergeCell ref="F29:F30"/>
    <mergeCell ref="G29:G30"/>
    <mergeCell ref="H29:H30"/>
    <mergeCell ref="A32:H32"/>
    <mergeCell ref="A33:H33"/>
    <mergeCell ref="A36:A37"/>
    <mergeCell ref="F36:F37"/>
    <mergeCell ref="G36:G37"/>
    <mergeCell ref="H36:H37"/>
    <mergeCell ref="A40:H40"/>
    <mergeCell ref="A41:H41"/>
    <mergeCell ref="A44:A45"/>
    <mergeCell ref="F44:F45"/>
    <mergeCell ref="G44:G45"/>
    <mergeCell ref="H44:H45"/>
    <mergeCell ref="A47:H47"/>
    <mergeCell ref="A48:H48"/>
    <mergeCell ref="A51:A52"/>
    <mergeCell ref="F51:F52"/>
    <mergeCell ref="G51:G52"/>
    <mergeCell ref="H51:H5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3:Q35"/>
  <sheetViews>
    <sheetView workbookViewId="0">
      <selection activeCell="C35" sqref="C35:H35"/>
    </sheetView>
  </sheetViews>
  <sheetFormatPr defaultRowHeight="15" x14ac:dyDescent="0.25"/>
  <cols>
    <col min="2" max="2" width="13.42578125" customWidth="1"/>
    <col min="3" max="3" width="17.7109375" customWidth="1"/>
    <col min="4" max="4" width="20" customWidth="1"/>
    <col min="6" max="6" width="10.85546875" customWidth="1"/>
    <col min="13" max="13" width="10.5703125" customWidth="1"/>
    <col min="14" max="15" width="0" hidden="1" customWidth="1"/>
    <col min="17" max="17" width="12.5703125" customWidth="1"/>
  </cols>
  <sheetData>
    <row r="3" spans="2:17" x14ac:dyDescent="0.25">
      <c r="B3" s="390" t="s">
        <v>49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</row>
    <row r="4" spans="2:17" ht="15.75" x14ac:dyDescent="0.25">
      <c r="B4" s="322" t="s">
        <v>0</v>
      </c>
      <c r="C4" s="322" t="s">
        <v>1</v>
      </c>
      <c r="D4" s="322" t="s">
        <v>2</v>
      </c>
      <c r="E4" s="322" t="s">
        <v>3</v>
      </c>
      <c r="F4" s="322" t="s">
        <v>4</v>
      </c>
      <c r="G4" s="322" t="s">
        <v>5</v>
      </c>
      <c r="H4" s="322" t="s">
        <v>6</v>
      </c>
      <c r="I4" s="322"/>
      <c r="J4" s="322" t="s">
        <v>7</v>
      </c>
      <c r="K4" s="322"/>
      <c r="L4" s="322"/>
      <c r="M4" s="322" t="s">
        <v>8</v>
      </c>
      <c r="N4" s="278" t="s">
        <v>9</v>
      </c>
      <c r="O4" s="278" t="s">
        <v>10</v>
      </c>
      <c r="P4" s="278" t="s">
        <v>11</v>
      </c>
      <c r="Q4" s="362" t="s">
        <v>12</v>
      </c>
    </row>
    <row r="5" spans="2:17" x14ac:dyDescent="0.25">
      <c r="B5" s="322"/>
      <c r="C5" s="322"/>
      <c r="D5" s="322"/>
      <c r="E5" s="322"/>
      <c r="F5" s="322"/>
      <c r="G5" s="322"/>
      <c r="H5" s="322" t="s">
        <v>13</v>
      </c>
      <c r="I5" s="322" t="s">
        <v>14</v>
      </c>
      <c r="J5" s="322" t="s">
        <v>15</v>
      </c>
      <c r="K5" s="322" t="s">
        <v>16</v>
      </c>
      <c r="L5" s="322" t="s">
        <v>17</v>
      </c>
      <c r="M5" s="322"/>
      <c r="N5" s="278"/>
      <c r="O5" s="278"/>
      <c r="P5" s="278"/>
      <c r="Q5" s="362"/>
    </row>
    <row r="6" spans="2:17" x14ac:dyDescent="0.25"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278"/>
      <c r="O6" s="278"/>
      <c r="P6" s="278"/>
      <c r="Q6" s="362"/>
    </row>
    <row r="7" spans="2:17" ht="15.75" x14ac:dyDescent="0.25">
      <c r="B7" s="2" t="s">
        <v>18</v>
      </c>
      <c r="C7" s="2" t="s">
        <v>19</v>
      </c>
      <c r="D7" s="2"/>
      <c r="E7" s="2" t="s">
        <v>20</v>
      </c>
      <c r="F7" s="2" t="s">
        <v>21</v>
      </c>
      <c r="G7" s="2" t="s">
        <v>22</v>
      </c>
      <c r="H7" s="2" t="s">
        <v>23</v>
      </c>
      <c r="I7" s="2" t="s">
        <v>23</v>
      </c>
      <c r="J7" s="2" t="s">
        <v>24</v>
      </c>
      <c r="K7" s="2" t="s">
        <v>22</v>
      </c>
      <c r="L7" s="2" t="s">
        <v>24</v>
      </c>
      <c r="M7" s="2" t="s">
        <v>25</v>
      </c>
      <c r="N7" s="3" t="s">
        <v>25</v>
      </c>
      <c r="O7" s="3" t="s">
        <v>26</v>
      </c>
      <c r="P7" s="3" t="s">
        <v>27</v>
      </c>
      <c r="Q7" s="2" t="s">
        <v>28</v>
      </c>
    </row>
    <row r="8" spans="2:17" ht="31.5" x14ac:dyDescent="0.25">
      <c r="B8" s="2">
        <v>1</v>
      </c>
      <c r="C8" s="4" t="s">
        <v>51</v>
      </c>
      <c r="D8" s="4" t="s">
        <v>48</v>
      </c>
      <c r="E8" s="2" t="s">
        <v>30</v>
      </c>
      <c r="F8" s="2">
        <v>2.4500000000000002</v>
      </c>
      <c r="G8" s="2">
        <v>66</v>
      </c>
      <c r="H8" s="5">
        <f>I8*100/G8</f>
        <v>90.909090909090907</v>
      </c>
      <c r="I8" s="2">
        <v>60</v>
      </c>
      <c r="J8" s="6">
        <f>1/(I8/(10*G8))</f>
        <v>11</v>
      </c>
      <c r="K8" s="2">
        <v>0</v>
      </c>
      <c r="L8" s="6">
        <f>J8-(J8/100*K8)</f>
        <v>11</v>
      </c>
      <c r="M8" s="7">
        <v>1066</v>
      </c>
      <c r="N8" s="8">
        <f>M8*F8</f>
        <v>2611.7000000000003</v>
      </c>
      <c r="O8" s="9">
        <f>B8/L8</f>
        <v>9.0909090909090912E-2</v>
      </c>
      <c r="P8" s="8">
        <f>F8*O8</f>
        <v>0.22272727272727275</v>
      </c>
      <c r="Q8" s="10">
        <f>P8*M8</f>
        <v>237.42727272727274</v>
      </c>
    </row>
    <row r="9" spans="2:17" ht="15.75" x14ac:dyDescent="0.25">
      <c r="B9" s="2">
        <v>1</v>
      </c>
      <c r="C9" s="4" t="s">
        <v>52</v>
      </c>
      <c r="D9" s="4" t="s">
        <v>32</v>
      </c>
      <c r="E9" s="11">
        <v>7037</v>
      </c>
      <c r="F9" s="2">
        <v>1.2</v>
      </c>
      <c r="G9" s="2">
        <v>56</v>
      </c>
      <c r="H9" s="5">
        <f>I9*100/G9</f>
        <v>107.14285714285714</v>
      </c>
      <c r="I9" s="2">
        <v>60</v>
      </c>
      <c r="J9" s="6">
        <f>1/(I9/(10*G9))</f>
        <v>9.3333333333333339</v>
      </c>
      <c r="K9" s="2">
        <v>0</v>
      </c>
      <c r="L9" s="6">
        <f>J9-(J9/100*K9)</f>
        <v>9.3333333333333339</v>
      </c>
      <c r="M9" s="7">
        <v>826</v>
      </c>
      <c r="N9" s="8">
        <f>M9*F9</f>
        <v>991.19999999999993</v>
      </c>
      <c r="O9" s="9">
        <f>B9/L9</f>
        <v>0.10714285714285714</v>
      </c>
      <c r="P9" s="9">
        <f>F9*O9</f>
        <v>0.12857142857142856</v>
      </c>
      <c r="Q9" s="10">
        <f>P9*M9</f>
        <v>106.19999999999999</v>
      </c>
    </row>
    <row r="10" spans="2:17" ht="15.75" x14ac:dyDescent="0.25">
      <c r="B10" s="363" t="s">
        <v>33</v>
      </c>
      <c r="C10" s="363"/>
      <c r="D10" s="363"/>
      <c r="E10" s="363"/>
      <c r="F10" s="2">
        <v>0.9</v>
      </c>
      <c r="G10" s="363">
        <v>10</v>
      </c>
      <c r="H10" s="363"/>
      <c r="I10" s="363"/>
      <c r="J10" s="363"/>
      <c r="K10" s="2"/>
      <c r="L10" s="2"/>
      <c r="M10" s="4">
        <v>1</v>
      </c>
      <c r="N10" s="12">
        <v>423</v>
      </c>
      <c r="O10" s="13">
        <f>O8*(G10/100)</f>
        <v>9.0909090909090922E-3</v>
      </c>
      <c r="P10" s="9">
        <f>F10*O10</f>
        <v>8.1818181818181825E-3</v>
      </c>
      <c r="Q10" s="10">
        <f>O10*M10</f>
        <v>9.0909090909090922E-3</v>
      </c>
    </row>
    <row r="11" spans="2:17" ht="15.75" x14ac:dyDescent="0.25">
      <c r="B11" s="363" t="s">
        <v>34</v>
      </c>
      <c r="C11" s="363"/>
      <c r="D11" s="363"/>
      <c r="E11" s="363"/>
      <c r="F11" s="2">
        <v>0.9</v>
      </c>
      <c r="G11" s="363">
        <v>10</v>
      </c>
      <c r="H11" s="363"/>
      <c r="I11" s="363"/>
      <c r="J11" s="363"/>
      <c r="K11" s="2"/>
      <c r="L11" s="2"/>
      <c r="M11" s="4">
        <v>1</v>
      </c>
      <c r="N11" s="12">
        <v>423</v>
      </c>
      <c r="O11" s="13">
        <f>O9*(G11/100)</f>
        <v>1.0714285714285714E-2</v>
      </c>
      <c r="P11" s="9">
        <f>F11*O11</f>
        <v>9.642857142857144E-3</v>
      </c>
      <c r="Q11" s="10">
        <f>O11*M11</f>
        <v>1.0714285714285714E-2</v>
      </c>
    </row>
    <row r="12" spans="2:17" ht="15.75" x14ac:dyDescent="0.25">
      <c r="B12" s="2"/>
      <c r="C12" s="363" t="s">
        <v>35</v>
      </c>
      <c r="D12" s="363"/>
      <c r="E12" s="363"/>
      <c r="F12" s="363"/>
      <c r="G12" s="363"/>
      <c r="H12" s="363"/>
      <c r="I12" s="2">
        <f>SUM(I8:I9)</f>
        <v>120</v>
      </c>
      <c r="J12" s="363"/>
      <c r="K12" s="363"/>
      <c r="L12" s="363"/>
      <c r="M12" s="363"/>
      <c r="N12" s="363"/>
      <c r="O12" s="363"/>
      <c r="P12" s="363"/>
      <c r="Q12" s="10">
        <f>SUM(Q8:Q11)</f>
        <v>343.64707792207793</v>
      </c>
    </row>
    <row r="14" spans="2:17" ht="15.75" thickBot="1" x14ac:dyDescent="0.3"/>
    <row r="15" spans="2:17" ht="15.75" thickBot="1" x14ac:dyDescent="0.3">
      <c r="B15" s="488" t="s">
        <v>49</v>
      </c>
      <c r="C15" s="489"/>
      <c r="D15" s="489"/>
      <c r="E15" s="489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9"/>
      <c r="Q15" s="490"/>
    </row>
    <row r="16" spans="2:17" ht="15.75" x14ac:dyDescent="0.25">
      <c r="B16" s="328" t="s">
        <v>0</v>
      </c>
      <c r="C16" s="328" t="s">
        <v>1</v>
      </c>
      <c r="D16" s="328" t="s">
        <v>2</v>
      </c>
      <c r="E16" s="328" t="s">
        <v>3</v>
      </c>
      <c r="F16" s="328" t="s">
        <v>4</v>
      </c>
      <c r="G16" s="328" t="s">
        <v>5</v>
      </c>
      <c r="H16" s="328" t="s">
        <v>6</v>
      </c>
      <c r="I16" s="328"/>
      <c r="J16" s="328" t="s">
        <v>7</v>
      </c>
      <c r="K16" s="328"/>
      <c r="L16" s="328"/>
      <c r="M16" s="328" t="s">
        <v>8</v>
      </c>
      <c r="N16" s="334" t="s">
        <v>9</v>
      </c>
      <c r="O16" s="334" t="s">
        <v>10</v>
      </c>
      <c r="P16" s="334" t="s">
        <v>11</v>
      </c>
      <c r="Q16" s="321" t="s">
        <v>12</v>
      </c>
    </row>
    <row r="17" spans="2:17" x14ac:dyDescent="0.25">
      <c r="B17" s="322"/>
      <c r="C17" s="322"/>
      <c r="D17" s="322"/>
      <c r="E17" s="322"/>
      <c r="F17" s="322"/>
      <c r="G17" s="322"/>
      <c r="H17" s="322" t="s">
        <v>13</v>
      </c>
      <c r="I17" s="322" t="s">
        <v>14</v>
      </c>
      <c r="J17" s="322" t="s">
        <v>15</v>
      </c>
      <c r="K17" s="322" t="s">
        <v>16</v>
      </c>
      <c r="L17" s="322" t="s">
        <v>17</v>
      </c>
      <c r="M17" s="322"/>
      <c r="N17" s="278"/>
      <c r="O17" s="278"/>
      <c r="P17" s="278"/>
      <c r="Q17" s="362"/>
    </row>
    <row r="18" spans="2:17" x14ac:dyDescent="0.25"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278"/>
      <c r="O18" s="278"/>
      <c r="P18" s="278"/>
      <c r="Q18" s="362"/>
    </row>
    <row r="19" spans="2:17" ht="15.75" x14ac:dyDescent="0.25">
      <c r="B19" s="2" t="s">
        <v>18</v>
      </c>
      <c r="C19" s="2" t="s">
        <v>19</v>
      </c>
      <c r="D19" s="2"/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23</v>
      </c>
      <c r="J19" s="2" t="s">
        <v>24</v>
      </c>
      <c r="K19" s="2" t="s">
        <v>22</v>
      </c>
      <c r="L19" s="2" t="s">
        <v>24</v>
      </c>
      <c r="M19" s="2" t="s">
        <v>25</v>
      </c>
      <c r="N19" s="3" t="s">
        <v>25</v>
      </c>
      <c r="O19" s="3" t="s">
        <v>26</v>
      </c>
      <c r="P19" s="3" t="s">
        <v>27</v>
      </c>
      <c r="Q19" s="2" t="s">
        <v>28</v>
      </c>
    </row>
    <row r="20" spans="2:17" ht="31.5" x14ac:dyDescent="0.25">
      <c r="B20" s="2">
        <v>1</v>
      </c>
      <c r="C20" s="4" t="s">
        <v>47</v>
      </c>
      <c r="D20" s="4" t="s">
        <v>48</v>
      </c>
      <c r="E20" s="2" t="s">
        <v>30</v>
      </c>
      <c r="F20" s="2">
        <v>1.6</v>
      </c>
      <c r="G20" s="2">
        <v>74</v>
      </c>
      <c r="H20" s="5">
        <f>I20*100/G20</f>
        <v>135.13513513513513</v>
      </c>
      <c r="I20" s="2">
        <v>100</v>
      </c>
      <c r="J20" s="6">
        <f>1/(I20/(10*G20))</f>
        <v>7.3999999999999995</v>
      </c>
      <c r="K20" s="2">
        <v>0</v>
      </c>
      <c r="L20" s="6">
        <f>J20-(J20/100*K20)</f>
        <v>7.3999999999999995</v>
      </c>
      <c r="M20" s="7">
        <v>682</v>
      </c>
      <c r="N20" s="8">
        <f>M20*F20</f>
        <v>1091.2</v>
      </c>
      <c r="O20" s="9">
        <f>B20/L20</f>
        <v>0.13513513513513514</v>
      </c>
      <c r="P20" s="8">
        <f>F20*O20</f>
        <v>0.21621621621621623</v>
      </c>
      <c r="Q20" s="10">
        <f>P20*M20</f>
        <v>147.45945945945948</v>
      </c>
    </row>
    <row r="21" spans="2:17" ht="31.5" x14ac:dyDescent="0.25">
      <c r="B21" s="2">
        <v>1</v>
      </c>
      <c r="C21" s="4" t="s">
        <v>31</v>
      </c>
      <c r="D21" s="4" t="s">
        <v>32</v>
      </c>
      <c r="E21" s="11">
        <v>7047</v>
      </c>
      <c r="F21" s="2">
        <v>1.4</v>
      </c>
      <c r="G21" s="2">
        <v>63</v>
      </c>
      <c r="H21" s="5">
        <f>I21*100/G21</f>
        <v>95.238095238095241</v>
      </c>
      <c r="I21" s="2">
        <v>60</v>
      </c>
      <c r="J21" s="6">
        <f>1/(I21/(10*G21))</f>
        <v>10.5</v>
      </c>
      <c r="K21" s="2">
        <v>0</v>
      </c>
      <c r="L21" s="6">
        <f>J21-(J21/100*K21)</f>
        <v>10.5</v>
      </c>
      <c r="M21" s="7">
        <v>837</v>
      </c>
      <c r="N21" s="8">
        <f>M21*F21</f>
        <v>1171.8</v>
      </c>
      <c r="O21" s="9">
        <f>B21/L21</f>
        <v>9.5238095238095233E-2</v>
      </c>
      <c r="P21" s="9">
        <f>F21*O21</f>
        <v>0.1333333333333333</v>
      </c>
      <c r="Q21" s="10">
        <f>P21*M21</f>
        <v>111.59999999999998</v>
      </c>
    </row>
    <row r="22" spans="2:17" ht="15.75" hidden="1" x14ac:dyDescent="0.25">
      <c r="B22" s="363" t="s">
        <v>33</v>
      </c>
      <c r="C22" s="363"/>
      <c r="D22" s="363"/>
      <c r="E22" s="363"/>
      <c r="F22" s="2">
        <v>0.9</v>
      </c>
      <c r="G22" s="363">
        <v>10</v>
      </c>
      <c r="H22" s="363"/>
      <c r="I22" s="363"/>
      <c r="J22" s="363"/>
      <c r="K22" s="2"/>
      <c r="L22" s="2"/>
      <c r="M22" s="4">
        <v>1</v>
      </c>
      <c r="N22" s="12">
        <v>423</v>
      </c>
      <c r="O22" s="13">
        <f>O20*(G22/100)</f>
        <v>1.3513513513513514E-2</v>
      </c>
      <c r="P22" s="9">
        <f>F22*O22</f>
        <v>1.2162162162162163E-2</v>
      </c>
      <c r="Q22" s="10">
        <f>O22*M22</f>
        <v>1.3513513513513514E-2</v>
      </c>
    </row>
    <row r="23" spans="2:17" ht="15.75" hidden="1" x14ac:dyDescent="0.25">
      <c r="B23" s="363" t="s">
        <v>34</v>
      </c>
      <c r="C23" s="363"/>
      <c r="D23" s="363"/>
      <c r="E23" s="363"/>
      <c r="F23" s="2">
        <v>0.9</v>
      </c>
      <c r="G23" s="363">
        <v>10</v>
      </c>
      <c r="H23" s="363"/>
      <c r="I23" s="363"/>
      <c r="J23" s="363"/>
      <c r="K23" s="2"/>
      <c r="L23" s="2"/>
      <c r="M23" s="4">
        <v>1</v>
      </c>
      <c r="N23" s="12">
        <v>423</v>
      </c>
      <c r="O23" s="13">
        <f>O21*(G23/100)</f>
        <v>9.5238095238095247E-3</v>
      </c>
      <c r="P23" s="9">
        <f>F23*O23</f>
        <v>8.5714285714285719E-3</v>
      </c>
      <c r="Q23" s="10">
        <f>O23*M23</f>
        <v>9.5238095238095247E-3</v>
      </c>
    </row>
    <row r="24" spans="2:17" ht="15.75" x14ac:dyDescent="0.25">
      <c r="B24" s="2"/>
      <c r="C24" s="363" t="s">
        <v>35</v>
      </c>
      <c r="D24" s="363"/>
      <c r="E24" s="363"/>
      <c r="F24" s="363"/>
      <c r="G24" s="363"/>
      <c r="H24" s="363"/>
      <c r="I24" s="2">
        <f>SUM(I20:I21)</f>
        <v>160</v>
      </c>
      <c r="J24" s="363"/>
      <c r="K24" s="363"/>
      <c r="L24" s="363"/>
      <c r="M24" s="363"/>
      <c r="N24" s="363"/>
      <c r="O24" s="363"/>
      <c r="P24" s="363"/>
      <c r="Q24" s="10">
        <f>SUM(Q20:Q23)</f>
        <v>259.08249678249672</v>
      </c>
    </row>
    <row r="25" spans="2:17" ht="15.75" thickBot="1" x14ac:dyDescent="0.3"/>
    <row r="26" spans="2:17" ht="15.75" thickBot="1" x14ac:dyDescent="0.3">
      <c r="B26" s="488" t="s">
        <v>49</v>
      </c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9"/>
      <c r="Q26" s="490"/>
    </row>
    <row r="27" spans="2:17" ht="15.75" x14ac:dyDescent="0.25">
      <c r="B27" s="322" t="s">
        <v>0</v>
      </c>
      <c r="C27" s="322" t="s">
        <v>1</v>
      </c>
      <c r="D27" s="322" t="s">
        <v>2</v>
      </c>
      <c r="E27" s="322" t="s">
        <v>3</v>
      </c>
      <c r="F27" s="322" t="s">
        <v>4</v>
      </c>
      <c r="G27" s="322" t="s">
        <v>5</v>
      </c>
      <c r="H27" s="322" t="s">
        <v>6</v>
      </c>
      <c r="I27" s="322"/>
      <c r="J27" s="322" t="s">
        <v>7</v>
      </c>
      <c r="K27" s="322"/>
      <c r="L27" s="322"/>
      <c r="M27" s="322" t="s">
        <v>8</v>
      </c>
      <c r="N27" s="278" t="s">
        <v>9</v>
      </c>
      <c r="O27" s="278" t="s">
        <v>10</v>
      </c>
      <c r="P27" s="278" t="s">
        <v>11</v>
      </c>
      <c r="Q27" s="362" t="s">
        <v>12</v>
      </c>
    </row>
    <row r="28" spans="2:17" x14ac:dyDescent="0.25">
      <c r="B28" s="322"/>
      <c r="C28" s="322"/>
      <c r="D28" s="322"/>
      <c r="E28" s="322"/>
      <c r="F28" s="322"/>
      <c r="G28" s="322"/>
      <c r="H28" s="322" t="s">
        <v>13</v>
      </c>
      <c r="I28" s="322" t="s">
        <v>14</v>
      </c>
      <c r="J28" s="322" t="s">
        <v>15</v>
      </c>
      <c r="K28" s="322" t="s">
        <v>16</v>
      </c>
      <c r="L28" s="322" t="s">
        <v>17</v>
      </c>
      <c r="M28" s="322"/>
      <c r="N28" s="278"/>
      <c r="O28" s="278"/>
      <c r="P28" s="278"/>
      <c r="Q28" s="362"/>
    </row>
    <row r="29" spans="2:17" x14ac:dyDescent="0.25">
      <c r="B29" s="322"/>
      <c r="C29" s="322"/>
      <c r="D29" s="322"/>
      <c r="E29" s="322"/>
      <c r="F29" s="322"/>
      <c r="G29" s="322"/>
      <c r="H29" s="322"/>
      <c r="I29" s="322"/>
      <c r="J29" s="322"/>
      <c r="K29" s="322"/>
      <c r="L29" s="322"/>
      <c r="M29" s="322"/>
      <c r="N29" s="278"/>
      <c r="O29" s="278"/>
      <c r="P29" s="278"/>
      <c r="Q29" s="362"/>
    </row>
    <row r="30" spans="2:17" ht="15.75" x14ac:dyDescent="0.25">
      <c r="B30" s="2" t="s">
        <v>18</v>
      </c>
      <c r="C30" s="2" t="s">
        <v>19</v>
      </c>
      <c r="D30" s="2"/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23</v>
      </c>
      <c r="J30" s="2" t="s">
        <v>24</v>
      </c>
      <c r="K30" s="2" t="s">
        <v>22</v>
      </c>
      <c r="L30" s="2" t="s">
        <v>24</v>
      </c>
      <c r="M30" s="2" t="s">
        <v>25</v>
      </c>
      <c r="N30" s="3" t="s">
        <v>25</v>
      </c>
      <c r="O30" s="3" t="s">
        <v>26</v>
      </c>
      <c r="P30" s="3" t="s">
        <v>27</v>
      </c>
      <c r="Q30" s="2" t="s">
        <v>28</v>
      </c>
    </row>
    <row r="31" spans="2:17" ht="31.5" x14ac:dyDescent="0.25">
      <c r="B31" s="2">
        <v>1</v>
      </c>
      <c r="C31" s="4" t="s">
        <v>50</v>
      </c>
      <c r="D31" s="4" t="s">
        <v>48</v>
      </c>
      <c r="E31" s="2" t="s">
        <v>30</v>
      </c>
      <c r="F31" s="2">
        <v>2.2999999999999998</v>
      </c>
      <c r="G31" s="2">
        <v>67</v>
      </c>
      <c r="H31" s="5">
        <f>I31*100/G31</f>
        <v>89.552238805970148</v>
      </c>
      <c r="I31" s="2">
        <v>60</v>
      </c>
      <c r="J31" s="6">
        <f>1/(I31/(10*G31))</f>
        <v>11.166666666666668</v>
      </c>
      <c r="K31" s="2">
        <v>0</v>
      </c>
      <c r="L31" s="6">
        <f>J31-(J31/100*K31)</f>
        <v>11.166666666666668</v>
      </c>
      <c r="M31" s="7">
        <v>975</v>
      </c>
      <c r="N31" s="8">
        <f>M31*F31</f>
        <v>2242.5</v>
      </c>
      <c r="O31" s="9">
        <f>B31/L31</f>
        <v>8.9552238805970144E-2</v>
      </c>
      <c r="P31" s="8">
        <f>F31*O31</f>
        <v>0.20597014925373131</v>
      </c>
      <c r="Q31" s="10">
        <f>P31*M31</f>
        <v>200.82089552238801</v>
      </c>
    </row>
    <row r="32" spans="2:17" ht="31.5" x14ac:dyDescent="0.25">
      <c r="B32" s="2">
        <v>1</v>
      </c>
      <c r="C32" s="4" t="s">
        <v>31</v>
      </c>
      <c r="D32" s="4" t="s">
        <v>32</v>
      </c>
      <c r="E32" s="11">
        <v>7047</v>
      </c>
      <c r="F32" s="2">
        <v>1.4</v>
      </c>
      <c r="G32" s="2">
        <v>63</v>
      </c>
      <c r="H32" s="5">
        <f>I32*100/G32</f>
        <v>95.238095238095241</v>
      </c>
      <c r="I32" s="2">
        <v>60</v>
      </c>
      <c r="J32" s="6">
        <f>1/(I32/(10*G32))</f>
        <v>10.5</v>
      </c>
      <c r="K32" s="2">
        <v>0</v>
      </c>
      <c r="L32" s="6">
        <f>J32-(J32/100*K32)</f>
        <v>10.5</v>
      </c>
      <c r="M32" s="7">
        <v>837</v>
      </c>
      <c r="N32" s="8">
        <f>M32*F32</f>
        <v>1171.8</v>
      </c>
      <c r="O32" s="9">
        <f>B32/L32</f>
        <v>9.5238095238095233E-2</v>
      </c>
      <c r="P32" s="9">
        <f>F32*O32</f>
        <v>0.1333333333333333</v>
      </c>
      <c r="Q32" s="10">
        <f>P32*M32</f>
        <v>111.59999999999998</v>
      </c>
    </row>
    <row r="33" spans="2:17" ht="15.75" hidden="1" x14ac:dyDescent="0.25">
      <c r="B33" s="363" t="s">
        <v>33</v>
      </c>
      <c r="C33" s="363"/>
      <c r="D33" s="363"/>
      <c r="E33" s="363"/>
      <c r="F33" s="2">
        <v>0.9</v>
      </c>
      <c r="G33" s="363">
        <v>10</v>
      </c>
      <c r="H33" s="363"/>
      <c r="I33" s="363"/>
      <c r="J33" s="363"/>
      <c r="K33" s="2"/>
      <c r="L33" s="2"/>
      <c r="M33" s="4">
        <v>1</v>
      </c>
      <c r="N33" s="12">
        <v>423</v>
      </c>
      <c r="O33" s="13">
        <f>O31*(G33/100)</f>
        <v>8.9552238805970154E-3</v>
      </c>
      <c r="P33" s="9">
        <f>F33*O33</f>
        <v>8.0597014925373137E-3</v>
      </c>
      <c r="Q33" s="10">
        <f>O33*M33</f>
        <v>8.9552238805970154E-3</v>
      </c>
    </row>
    <row r="34" spans="2:17" ht="15.75" hidden="1" x14ac:dyDescent="0.25">
      <c r="B34" s="363" t="s">
        <v>34</v>
      </c>
      <c r="C34" s="363"/>
      <c r="D34" s="363"/>
      <c r="E34" s="363"/>
      <c r="F34" s="2">
        <v>0.9</v>
      </c>
      <c r="G34" s="363">
        <v>10</v>
      </c>
      <c r="H34" s="363"/>
      <c r="I34" s="363"/>
      <c r="J34" s="363"/>
      <c r="K34" s="2"/>
      <c r="L34" s="2"/>
      <c r="M34" s="4">
        <v>1</v>
      </c>
      <c r="N34" s="12">
        <v>423</v>
      </c>
      <c r="O34" s="13">
        <f>O32*(G34/100)</f>
        <v>9.5238095238095247E-3</v>
      </c>
      <c r="P34" s="9">
        <f>F34*O34</f>
        <v>8.5714285714285719E-3</v>
      </c>
      <c r="Q34" s="10">
        <f>O34*M34</f>
        <v>9.5238095238095247E-3</v>
      </c>
    </row>
    <row r="35" spans="2:17" ht="15.75" x14ac:dyDescent="0.25">
      <c r="B35" s="2"/>
      <c r="C35" s="363" t="s">
        <v>35</v>
      </c>
      <c r="D35" s="363"/>
      <c r="E35" s="363"/>
      <c r="F35" s="363"/>
      <c r="G35" s="363"/>
      <c r="H35" s="363"/>
      <c r="I35" s="2">
        <f>SUM(I31:I32)</f>
        <v>120</v>
      </c>
      <c r="J35" s="363"/>
      <c r="K35" s="363"/>
      <c r="L35" s="363"/>
      <c r="M35" s="363"/>
      <c r="N35" s="363"/>
      <c r="O35" s="363"/>
      <c r="P35" s="363"/>
      <c r="Q35" s="10">
        <f>SUM(Q31:Q34)</f>
        <v>312.43937455579237</v>
      </c>
    </row>
  </sheetData>
  <mergeCells count="75">
    <mergeCell ref="B22:E22"/>
    <mergeCell ref="G22:J22"/>
    <mergeCell ref="B23:E23"/>
    <mergeCell ref="G23:J23"/>
    <mergeCell ref="C24:H24"/>
    <mergeCell ref="J24:P24"/>
    <mergeCell ref="O16:O18"/>
    <mergeCell ref="P16:P18"/>
    <mergeCell ref="Q16:Q18"/>
    <mergeCell ref="H17:H18"/>
    <mergeCell ref="I17:I18"/>
    <mergeCell ref="J17:J18"/>
    <mergeCell ref="K17:K18"/>
    <mergeCell ref="L17:L18"/>
    <mergeCell ref="G16:G18"/>
    <mergeCell ref="H16:I16"/>
    <mergeCell ref="J16:L16"/>
    <mergeCell ref="M16:M18"/>
    <mergeCell ref="N16:N18"/>
    <mergeCell ref="B16:B18"/>
    <mergeCell ref="C16:C18"/>
    <mergeCell ref="D16:D18"/>
    <mergeCell ref="E16:E18"/>
    <mergeCell ref="F16:F18"/>
    <mergeCell ref="B11:E11"/>
    <mergeCell ref="G11:J11"/>
    <mergeCell ref="C12:H12"/>
    <mergeCell ref="J12:P12"/>
    <mergeCell ref="B15:Q15"/>
    <mergeCell ref="J5:J6"/>
    <mergeCell ref="K5:K6"/>
    <mergeCell ref="L5:L6"/>
    <mergeCell ref="B10:E10"/>
    <mergeCell ref="G10:J10"/>
    <mergeCell ref="B3:Q3"/>
    <mergeCell ref="B4:B6"/>
    <mergeCell ref="C4:C6"/>
    <mergeCell ref="D4:D6"/>
    <mergeCell ref="E4:E6"/>
    <mergeCell ref="F4:F6"/>
    <mergeCell ref="G4:G6"/>
    <mergeCell ref="H4:I4"/>
    <mergeCell ref="J4:L4"/>
    <mergeCell ref="M4:M6"/>
    <mergeCell ref="N4:N6"/>
    <mergeCell ref="O4:O6"/>
    <mergeCell ref="P4:P6"/>
    <mergeCell ref="Q4:Q6"/>
    <mergeCell ref="H5:H6"/>
    <mergeCell ref="I5:I6"/>
    <mergeCell ref="C35:H35"/>
    <mergeCell ref="J35:P35"/>
    <mergeCell ref="O27:O29"/>
    <mergeCell ref="P27:P29"/>
    <mergeCell ref="Q27:Q29"/>
    <mergeCell ref="H28:H29"/>
    <mergeCell ref="I28:I29"/>
    <mergeCell ref="J28:J29"/>
    <mergeCell ref="K28:K29"/>
    <mergeCell ref="L28:L29"/>
    <mergeCell ref="G27:G29"/>
    <mergeCell ref="H27:I27"/>
    <mergeCell ref="J27:L27"/>
    <mergeCell ref="M27:M29"/>
    <mergeCell ref="N27:N29"/>
    <mergeCell ref="C27:C29"/>
    <mergeCell ref="B26:Q26"/>
    <mergeCell ref="B33:E33"/>
    <mergeCell ref="G33:J33"/>
    <mergeCell ref="B34:E34"/>
    <mergeCell ref="G34:J34"/>
    <mergeCell ref="B27:B29"/>
    <mergeCell ref="D27:D29"/>
    <mergeCell ref="E27:E29"/>
    <mergeCell ref="F27:F29"/>
  </mergeCells>
  <pageMargins left="0.7" right="0.7" top="0.75" bottom="0.75" header="0.3" footer="0.3"/>
  <pageSetup paperSize="9" scale="77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7"/>
  <sheetViews>
    <sheetView workbookViewId="0">
      <selection activeCell="E149" sqref="E149"/>
    </sheetView>
  </sheetViews>
  <sheetFormatPr defaultRowHeight="15" x14ac:dyDescent="0.25"/>
  <cols>
    <col min="2" max="2" width="37.5703125" customWidth="1"/>
    <col min="3" max="3" width="28" customWidth="1"/>
    <col min="4" max="4" width="25.85546875" customWidth="1"/>
    <col min="5" max="5" width="27.140625" customWidth="1"/>
  </cols>
  <sheetData>
    <row r="1" spans="1:9" ht="24" thickBot="1" x14ac:dyDescent="0.3">
      <c r="A1" s="495" t="s">
        <v>94</v>
      </c>
      <c r="B1" s="496"/>
      <c r="C1" s="496"/>
      <c r="D1" s="496"/>
      <c r="E1" s="497"/>
    </row>
    <row r="2" spans="1:9" ht="45" customHeight="1" thickBot="1" x14ac:dyDescent="0.3">
      <c r="A2" s="491" t="s">
        <v>70</v>
      </c>
      <c r="B2" s="492"/>
      <c r="C2" s="492"/>
      <c r="D2" s="492"/>
      <c r="E2" s="493"/>
      <c r="H2" s="46" t="s">
        <v>97</v>
      </c>
      <c r="I2">
        <v>200</v>
      </c>
    </row>
    <row r="3" spans="1:9" ht="28.5" customHeight="1" thickBot="1" x14ac:dyDescent="0.3">
      <c r="A3" s="44" t="s">
        <v>71</v>
      </c>
      <c r="B3" s="45" t="s">
        <v>1</v>
      </c>
      <c r="C3" s="45" t="s">
        <v>72</v>
      </c>
      <c r="D3" s="45" t="s">
        <v>73</v>
      </c>
      <c r="E3" s="45" t="s">
        <v>74</v>
      </c>
      <c r="H3" s="46" t="s">
        <v>101</v>
      </c>
      <c r="I3">
        <v>950</v>
      </c>
    </row>
    <row r="4" spans="1:9" ht="15.75" thickBot="1" x14ac:dyDescent="0.3">
      <c r="A4" s="47"/>
      <c r="B4" s="48"/>
      <c r="C4" s="49" t="s">
        <v>23</v>
      </c>
      <c r="D4" s="49" t="s">
        <v>75</v>
      </c>
      <c r="E4" s="49" t="s">
        <v>76</v>
      </c>
    </row>
    <row r="5" spans="1:9" ht="15.75" thickBot="1" x14ac:dyDescent="0.3">
      <c r="A5" s="481">
        <v>1</v>
      </c>
      <c r="B5" s="49" t="s">
        <v>77</v>
      </c>
      <c r="C5" s="49">
        <v>80</v>
      </c>
      <c r="D5" s="481" t="s">
        <v>102</v>
      </c>
      <c r="E5" s="481">
        <f>(C6/1000*1.2)*I3+I2</f>
        <v>5329.9999999999991</v>
      </c>
      <c r="H5" s="46" t="s">
        <v>108</v>
      </c>
    </row>
    <row r="6" spans="1:9" ht="30.75" thickBot="1" x14ac:dyDescent="0.3">
      <c r="A6" s="494"/>
      <c r="B6" s="49" t="s">
        <v>78</v>
      </c>
      <c r="C6" s="49">
        <v>4500</v>
      </c>
      <c r="D6" s="494"/>
      <c r="E6" s="494"/>
      <c r="H6">
        <f>(C6/1000*1.2)*I3+I2</f>
        <v>5329.9999999999991</v>
      </c>
    </row>
    <row r="7" spans="1:9" ht="15.75" thickBot="1" x14ac:dyDescent="0.3">
      <c r="A7" s="482"/>
      <c r="B7" s="49" t="s">
        <v>95</v>
      </c>
      <c r="C7" s="49">
        <v>50</v>
      </c>
      <c r="D7" s="482"/>
      <c r="E7" s="482"/>
    </row>
    <row r="8" spans="1:9" ht="15.75" thickBot="1" x14ac:dyDescent="0.3">
      <c r="A8" s="50"/>
    </row>
    <row r="9" spans="1:9" ht="45" customHeight="1" thickBot="1" x14ac:dyDescent="0.3">
      <c r="A9" s="491" t="s">
        <v>79</v>
      </c>
      <c r="B9" s="492"/>
      <c r="C9" s="492"/>
      <c r="D9" s="492"/>
      <c r="E9" s="493"/>
    </row>
    <row r="10" spans="1:9" ht="41.25" customHeight="1" thickBot="1" x14ac:dyDescent="0.3">
      <c r="A10" s="44" t="s">
        <v>71</v>
      </c>
      <c r="B10" s="45" t="s">
        <v>1</v>
      </c>
      <c r="C10" s="45" t="s">
        <v>72</v>
      </c>
      <c r="D10" s="45" t="s">
        <v>73</v>
      </c>
      <c r="E10" s="45" t="s">
        <v>74</v>
      </c>
    </row>
    <row r="11" spans="1:9" ht="15.75" thickBot="1" x14ac:dyDescent="0.3">
      <c r="A11" s="47"/>
      <c r="B11" s="48"/>
      <c r="C11" s="49" t="s">
        <v>23</v>
      </c>
      <c r="D11" s="49" t="s">
        <v>75</v>
      </c>
      <c r="E11" s="49" t="s">
        <v>76</v>
      </c>
    </row>
    <row r="12" spans="1:9" ht="15.75" thickBot="1" x14ac:dyDescent="0.3">
      <c r="A12" s="481">
        <v>1</v>
      </c>
      <c r="B12" s="49" t="s">
        <v>77</v>
      </c>
      <c r="C12" s="49">
        <v>80</v>
      </c>
      <c r="D12" s="481" t="s">
        <v>103</v>
      </c>
      <c r="E12" s="481">
        <f>(C13/1000*1.2)*I3+I2</f>
        <v>8978</v>
      </c>
    </row>
    <row r="13" spans="1:9" ht="30.75" thickBot="1" x14ac:dyDescent="0.3">
      <c r="A13" s="494"/>
      <c r="B13" s="49" t="s">
        <v>98</v>
      </c>
      <c r="C13" s="49">
        <f>3200+4500</f>
        <v>7700</v>
      </c>
      <c r="D13" s="494"/>
      <c r="E13" s="494"/>
    </row>
    <row r="14" spans="1:9" ht="15.75" thickBot="1" x14ac:dyDescent="0.3">
      <c r="A14" s="482"/>
      <c r="B14" s="49" t="s">
        <v>96</v>
      </c>
      <c r="C14" s="49">
        <v>50</v>
      </c>
      <c r="D14" s="482"/>
      <c r="E14" s="482"/>
    </row>
    <row r="15" spans="1:9" x14ac:dyDescent="0.25">
      <c r="A15" s="50"/>
    </row>
    <row r="16" spans="1:9" x14ac:dyDescent="0.25">
      <c r="A16" s="50"/>
    </row>
    <row r="17" spans="1:5" x14ac:dyDescent="0.25">
      <c r="A17" s="50"/>
    </row>
    <row r="18" spans="1:5" x14ac:dyDescent="0.25">
      <c r="A18" s="50"/>
    </row>
    <row r="19" spans="1:5" x14ac:dyDescent="0.25">
      <c r="A19" s="50"/>
    </row>
    <row r="20" spans="1:5" ht="15.75" thickBot="1" x14ac:dyDescent="0.3">
      <c r="A20" s="50"/>
    </row>
    <row r="21" spans="1:5" ht="45" customHeight="1" thickBot="1" x14ac:dyDescent="0.3">
      <c r="A21" s="491" t="s">
        <v>80</v>
      </c>
      <c r="B21" s="492"/>
      <c r="C21" s="492"/>
      <c r="D21" s="492"/>
      <c r="E21" s="493"/>
    </row>
    <row r="22" spans="1:5" ht="50.25" customHeight="1" thickBot="1" x14ac:dyDescent="0.3">
      <c r="A22" s="44" t="s">
        <v>71</v>
      </c>
      <c r="B22" s="45" t="s">
        <v>1</v>
      </c>
      <c r="C22" s="45" t="s">
        <v>72</v>
      </c>
      <c r="D22" s="45" t="s">
        <v>73</v>
      </c>
      <c r="E22" s="45" t="s">
        <v>74</v>
      </c>
    </row>
    <row r="23" spans="1:5" ht="15.75" thickBot="1" x14ac:dyDescent="0.3">
      <c r="A23" s="47"/>
      <c r="B23" s="48"/>
      <c r="C23" s="49" t="s">
        <v>23</v>
      </c>
      <c r="D23" s="49" t="s">
        <v>75</v>
      </c>
      <c r="E23" s="49" t="s">
        <v>76</v>
      </c>
    </row>
    <row r="24" spans="1:5" ht="15.75" thickBot="1" x14ac:dyDescent="0.3">
      <c r="A24" s="481">
        <v>1</v>
      </c>
      <c r="B24" s="49" t="s">
        <v>77</v>
      </c>
      <c r="C24" s="49">
        <v>80</v>
      </c>
      <c r="D24" s="481" t="s">
        <v>104</v>
      </c>
      <c r="E24" s="481">
        <f>(C25/1000*1.2)*I3+I2</f>
        <v>10459.999999999998</v>
      </c>
    </row>
    <row r="25" spans="1:5" ht="30.75" thickBot="1" x14ac:dyDescent="0.3">
      <c r="A25" s="494"/>
      <c r="B25" s="49" t="s">
        <v>99</v>
      </c>
      <c r="C25" s="49">
        <f>3000+6000</f>
        <v>9000</v>
      </c>
      <c r="D25" s="494"/>
      <c r="E25" s="494"/>
    </row>
    <row r="26" spans="1:5" ht="15.75" thickBot="1" x14ac:dyDescent="0.3">
      <c r="A26" s="482"/>
      <c r="B26" s="49" t="s">
        <v>96</v>
      </c>
      <c r="C26" s="49">
        <v>50</v>
      </c>
      <c r="D26" s="482"/>
      <c r="E26" s="482"/>
    </row>
    <row r="27" spans="1:5" ht="15.75" thickBot="1" x14ac:dyDescent="0.3">
      <c r="A27" s="50"/>
    </row>
    <row r="28" spans="1:5" ht="45" customHeight="1" thickBot="1" x14ac:dyDescent="0.3">
      <c r="A28" s="491" t="s">
        <v>81</v>
      </c>
      <c r="B28" s="492"/>
      <c r="C28" s="492"/>
      <c r="D28" s="492"/>
      <c r="E28" s="493"/>
    </row>
    <row r="29" spans="1:5" ht="55.5" customHeight="1" thickBot="1" x14ac:dyDescent="0.3">
      <c r="A29" s="44" t="s">
        <v>71</v>
      </c>
      <c r="B29" s="45" t="s">
        <v>1</v>
      </c>
      <c r="C29" s="45" t="s">
        <v>72</v>
      </c>
      <c r="D29" s="45" t="s">
        <v>73</v>
      </c>
      <c r="E29" s="45" t="s">
        <v>74</v>
      </c>
    </row>
    <row r="30" spans="1:5" ht="15.75" thickBot="1" x14ac:dyDescent="0.3">
      <c r="A30" s="47"/>
      <c r="B30" s="48"/>
      <c r="C30" s="49" t="s">
        <v>23</v>
      </c>
      <c r="D30" s="49" t="s">
        <v>75</v>
      </c>
      <c r="E30" s="49" t="s">
        <v>76</v>
      </c>
    </row>
    <row r="31" spans="1:5" ht="15.75" thickBot="1" x14ac:dyDescent="0.3">
      <c r="A31" s="481">
        <v>1</v>
      </c>
      <c r="B31" s="49" t="s">
        <v>77</v>
      </c>
      <c r="C31" s="49">
        <v>80</v>
      </c>
      <c r="D31" s="481" t="s">
        <v>105</v>
      </c>
      <c r="E31" s="481">
        <f>(C32/1000*1.2)*I3+I2</f>
        <v>4988</v>
      </c>
    </row>
    <row r="32" spans="1:5" ht="30.75" thickBot="1" x14ac:dyDescent="0.3">
      <c r="A32" s="494"/>
      <c r="B32" s="49" t="s">
        <v>78</v>
      </c>
      <c r="C32" s="49">
        <v>4200</v>
      </c>
      <c r="D32" s="494"/>
      <c r="E32" s="494"/>
    </row>
    <row r="33" spans="1:5" ht="15.75" thickBot="1" x14ac:dyDescent="0.3">
      <c r="A33" s="482"/>
      <c r="B33" s="49" t="s">
        <v>96</v>
      </c>
      <c r="C33" s="49">
        <v>50</v>
      </c>
      <c r="D33" s="482"/>
      <c r="E33" s="482"/>
    </row>
    <row r="34" spans="1:5" ht="15.75" thickBot="1" x14ac:dyDescent="0.3">
      <c r="A34" s="50"/>
    </row>
    <row r="35" spans="1:5" ht="45" customHeight="1" thickBot="1" x14ac:dyDescent="0.3">
      <c r="A35" s="491" t="s">
        <v>82</v>
      </c>
      <c r="B35" s="492"/>
      <c r="C35" s="492"/>
      <c r="D35" s="492"/>
      <c r="E35" s="493"/>
    </row>
    <row r="36" spans="1:5" ht="60.75" customHeight="1" thickBot="1" x14ac:dyDescent="0.3">
      <c r="A36" s="44" t="s">
        <v>71</v>
      </c>
      <c r="B36" s="45" t="s">
        <v>1</v>
      </c>
      <c r="C36" s="45" t="s">
        <v>72</v>
      </c>
      <c r="D36" s="45" t="s">
        <v>73</v>
      </c>
      <c r="E36" s="45" t="s">
        <v>74</v>
      </c>
    </row>
    <row r="37" spans="1:5" ht="15.75" thickBot="1" x14ac:dyDescent="0.3">
      <c r="A37" s="47"/>
      <c r="B37" s="48"/>
      <c r="C37" s="49" t="s">
        <v>23</v>
      </c>
      <c r="D37" s="49" t="s">
        <v>75</v>
      </c>
      <c r="E37" s="49" t="s">
        <v>76</v>
      </c>
    </row>
    <row r="38" spans="1:5" ht="15.75" thickBot="1" x14ac:dyDescent="0.3">
      <c r="A38" s="481">
        <v>1</v>
      </c>
      <c r="B38" s="49" t="s">
        <v>77</v>
      </c>
      <c r="C38" s="49">
        <v>80</v>
      </c>
      <c r="D38" s="481" t="s">
        <v>102</v>
      </c>
      <c r="E38" s="481">
        <f>(C39/1000*1.2)*I3+I2</f>
        <v>5900</v>
      </c>
    </row>
    <row r="39" spans="1:5" ht="30.75" thickBot="1" x14ac:dyDescent="0.3">
      <c r="A39" s="494"/>
      <c r="B39" s="49" t="s">
        <v>78</v>
      </c>
      <c r="C39" s="49">
        <v>5000</v>
      </c>
      <c r="D39" s="494"/>
      <c r="E39" s="494"/>
    </row>
    <row r="40" spans="1:5" ht="15.75" thickBot="1" x14ac:dyDescent="0.3">
      <c r="A40" s="482"/>
      <c r="B40" s="49" t="s">
        <v>96</v>
      </c>
      <c r="C40" s="49">
        <v>50</v>
      </c>
      <c r="D40" s="482"/>
      <c r="E40" s="482"/>
    </row>
    <row r="41" spans="1:5" ht="45" customHeight="1" thickBot="1" x14ac:dyDescent="0.3">
      <c r="A41" s="491" t="s">
        <v>83</v>
      </c>
      <c r="B41" s="492"/>
      <c r="C41" s="492"/>
      <c r="D41" s="492"/>
      <c r="E41" s="493"/>
    </row>
    <row r="42" spans="1:5" ht="52.5" customHeight="1" thickBot="1" x14ac:dyDescent="0.3">
      <c r="A42" s="44" t="s">
        <v>71</v>
      </c>
      <c r="B42" s="45" t="s">
        <v>1</v>
      </c>
      <c r="C42" s="45" t="s">
        <v>72</v>
      </c>
      <c r="D42" s="45" t="s">
        <v>73</v>
      </c>
      <c r="E42" s="45" t="s">
        <v>74</v>
      </c>
    </row>
    <row r="43" spans="1:5" ht="15.75" thickBot="1" x14ac:dyDescent="0.3">
      <c r="A43" s="47"/>
      <c r="B43" s="48"/>
      <c r="C43" s="49" t="s">
        <v>23</v>
      </c>
      <c r="D43" s="49" t="s">
        <v>75</v>
      </c>
      <c r="E43" s="49" t="s">
        <v>76</v>
      </c>
    </row>
    <row r="44" spans="1:5" ht="15.75" thickBot="1" x14ac:dyDescent="0.3">
      <c r="A44" s="481">
        <v>1</v>
      </c>
      <c r="B44" s="49" t="s">
        <v>77</v>
      </c>
      <c r="C44" s="49">
        <v>80</v>
      </c>
      <c r="D44" s="481" t="s">
        <v>103</v>
      </c>
      <c r="E44" s="481">
        <f>(C45/1000*1.2)*I3+I2</f>
        <v>8065.9999999999991</v>
      </c>
    </row>
    <row r="45" spans="1:5" ht="30.75" thickBot="1" x14ac:dyDescent="0.3">
      <c r="A45" s="494"/>
      <c r="B45" s="49" t="s">
        <v>100</v>
      </c>
      <c r="C45" s="49">
        <f>3200+3700</f>
        <v>6900</v>
      </c>
      <c r="D45" s="494"/>
      <c r="E45" s="494"/>
    </row>
    <row r="46" spans="1:5" ht="15.75" thickBot="1" x14ac:dyDescent="0.3">
      <c r="A46" s="482"/>
      <c r="B46" s="49" t="s">
        <v>96</v>
      </c>
      <c r="C46" s="49">
        <v>50</v>
      </c>
      <c r="D46" s="482"/>
      <c r="E46" s="482"/>
    </row>
    <row r="47" spans="1:5" ht="15.75" thickBot="1" x14ac:dyDescent="0.3">
      <c r="A47" s="50"/>
    </row>
    <row r="48" spans="1:5" ht="45" customHeight="1" thickBot="1" x14ac:dyDescent="0.3">
      <c r="A48" s="491" t="s">
        <v>84</v>
      </c>
      <c r="B48" s="492"/>
      <c r="C48" s="492"/>
      <c r="D48" s="492"/>
      <c r="E48" s="493"/>
    </row>
    <row r="49" spans="1:5" ht="56.25" customHeight="1" thickBot="1" x14ac:dyDescent="0.3">
      <c r="A49" s="44" t="s">
        <v>71</v>
      </c>
      <c r="B49" s="45" t="s">
        <v>1</v>
      </c>
      <c r="C49" s="45" t="s">
        <v>72</v>
      </c>
      <c r="D49" s="45" t="s">
        <v>73</v>
      </c>
      <c r="E49" s="45" t="s">
        <v>74</v>
      </c>
    </row>
    <row r="50" spans="1:5" ht="15.75" thickBot="1" x14ac:dyDescent="0.3">
      <c r="A50" s="47"/>
      <c r="B50" s="48"/>
      <c r="C50" s="49" t="s">
        <v>23</v>
      </c>
      <c r="D50" s="49" t="s">
        <v>75</v>
      </c>
      <c r="E50" s="49" t="s">
        <v>76</v>
      </c>
    </row>
    <row r="51" spans="1:5" ht="15.75" thickBot="1" x14ac:dyDescent="0.3">
      <c r="A51" s="481">
        <v>1</v>
      </c>
      <c r="B51" s="49" t="s">
        <v>77</v>
      </c>
      <c r="C51" s="49">
        <v>80</v>
      </c>
      <c r="D51" s="481" t="s">
        <v>104</v>
      </c>
      <c r="E51" s="481">
        <f>(C52/1000*1.2)*I3+I2</f>
        <v>9890</v>
      </c>
    </row>
    <row r="52" spans="1:5" ht="30.75" thickBot="1" x14ac:dyDescent="0.3">
      <c r="A52" s="494"/>
      <c r="B52" s="49" t="s">
        <v>100</v>
      </c>
      <c r="C52" s="49">
        <f>3000+5500</f>
        <v>8500</v>
      </c>
      <c r="D52" s="494"/>
      <c r="E52" s="494"/>
    </row>
    <row r="53" spans="1:5" ht="15.75" thickBot="1" x14ac:dyDescent="0.3">
      <c r="A53" s="482"/>
      <c r="B53" s="49" t="s">
        <v>96</v>
      </c>
      <c r="C53" s="49">
        <v>50</v>
      </c>
      <c r="D53" s="482"/>
      <c r="E53" s="482"/>
    </row>
    <row r="54" spans="1:5" ht="15.75" thickBot="1" x14ac:dyDescent="0.3">
      <c r="A54" s="50"/>
    </row>
    <row r="55" spans="1:5" ht="45" customHeight="1" thickBot="1" x14ac:dyDescent="0.3">
      <c r="A55" s="491" t="s">
        <v>85</v>
      </c>
      <c r="B55" s="492"/>
      <c r="C55" s="492"/>
      <c r="D55" s="492"/>
      <c r="E55" s="493"/>
    </row>
    <row r="56" spans="1:5" ht="30.75" thickBot="1" x14ac:dyDescent="0.3">
      <c r="A56" s="44" t="s">
        <v>71</v>
      </c>
      <c r="B56" s="45" t="s">
        <v>1</v>
      </c>
      <c r="C56" s="45" t="s">
        <v>72</v>
      </c>
      <c r="D56" s="45" t="s">
        <v>73</v>
      </c>
      <c r="E56" s="45" t="s">
        <v>74</v>
      </c>
    </row>
    <row r="57" spans="1:5" ht="15.75" thickBot="1" x14ac:dyDescent="0.3">
      <c r="A57" s="47"/>
      <c r="B57" s="48"/>
      <c r="C57" s="49" t="s">
        <v>23</v>
      </c>
      <c r="D57" s="49" t="s">
        <v>75</v>
      </c>
      <c r="E57" s="49" t="s">
        <v>76</v>
      </c>
    </row>
    <row r="58" spans="1:5" ht="15.75" thickBot="1" x14ac:dyDescent="0.3">
      <c r="A58" s="481">
        <v>1</v>
      </c>
      <c r="B58" s="49" t="s">
        <v>77</v>
      </c>
      <c r="C58" s="49">
        <v>80</v>
      </c>
      <c r="D58" s="481" t="s">
        <v>106</v>
      </c>
      <c r="E58" s="481">
        <f>(C59/1000*1.2)*$I$3+$I$2</f>
        <v>3961.9999999999995</v>
      </c>
    </row>
    <row r="59" spans="1:5" ht="30.75" thickBot="1" x14ac:dyDescent="0.3">
      <c r="A59" s="494"/>
      <c r="B59" s="49" t="s">
        <v>78</v>
      </c>
      <c r="C59" s="49">
        <v>3300</v>
      </c>
      <c r="D59" s="494"/>
      <c r="E59" s="494"/>
    </row>
    <row r="60" spans="1:5" ht="15.75" thickBot="1" x14ac:dyDescent="0.3">
      <c r="A60" s="482"/>
      <c r="B60" s="49" t="s">
        <v>96</v>
      </c>
      <c r="C60" s="49">
        <v>50</v>
      </c>
      <c r="D60" s="482"/>
      <c r="E60" s="482"/>
    </row>
    <row r="61" spans="1:5" ht="15.75" thickBot="1" x14ac:dyDescent="0.3">
      <c r="A61" s="50"/>
    </row>
    <row r="62" spans="1:5" ht="45" customHeight="1" thickBot="1" x14ac:dyDescent="0.3">
      <c r="A62" s="491" t="s">
        <v>86</v>
      </c>
      <c r="B62" s="492"/>
      <c r="C62" s="492"/>
      <c r="D62" s="492"/>
      <c r="E62" s="493"/>
    </row>
    <row r="63" spans="1:5" ht="55.5" customHeight="1" thickBot="1" x14ac:dyDescent="0.3">
      <c r="A63" s="44" t="s">
        <v>71</v>
      </c>
      <c r="B63" s="45" t="s">
        <v>1</v>
      </c>
      <c r="C63" s="45" t="s">
        <v>72</v>
      </c>
      <c r="D63" s="45" t="s">
        <v>73</v>
      </c>
      <c r="E63" s="45" t="s">
        <v>74</v>
      </c>
    </row>
    <row r="64" spans="1:5" ht="15.75" thickBot="1" x14ac:dyDescent="0.3">
      <c r="A64" s="47"/>
      <c r="B64" s="48"/>
      <c r="C64" s="49" t="s">
        <v>23</v>
      </c>
      <c r="D64" s="49" t="s">
        <v>75</v>
      </c>
      <c r="E64" s="49" t="s">
        <v>76</v>
      </c>
    </row>
    <row r="65" spans="1:5" ht="15.75" thickBot="1" x14ac:dyDescent="0.3">
      <c r="A65" s="481">
        <v>1</v>
      </c>
      <c r="B65" s="49" t="s">
        <v>77</v>
      </c>
      <c r="C65" s="49">
        <v>80</v>
      </c>
      <c r="D65" s="481" t="s">
        <v>105</v>
      </c>
      <c r="E65" s="481">
        <f>(C66/1000*1.2)*$I$3+$I$2</f>
        <v>4418</v>
      </c>
    </row>
    <row r="66" spans="1:5" ht="30.75" thickBot="1" x14ac:dyDescent="0.3">
      <c r="A66" s="494"/>
      <c r="B66" s="49" t="s">
        <v>78</v>
      </c>
      <c r="C66" s="49">
        <v>3700</v>
      </c>
      <c r="D66" s="494"/>
      <c r="E66" s="494"/>
    </row>
    <row r="67" spans="1:5" ht="15.75" thickBot="1" x14ac:dyDescent="0.3">
      <c r="A67" s="482"/>
      <c r="B67" s="49" t="s">
        <v>96</v>
      </c>
      <c r="C67" s="49">
        <v>50</v>
      </c>
      <c r="D67" s="482"/>
      <c r="E67" s="482"/>
    </row>
    <row r="68" spans="1:5" ht="15.75" thickBot="1" x14ac:dyDescent="0.3">
      <c r="A68" s="50"/>
    </row>
    <row r="69" spans="1:5" ht="45" customHeight="1" thickBot="1" x14ac:dyDescent="0.3">
      <c r="A69" s="491" t="s">
        <v>87</v>
      </c>
      <c r="B69" s="492"/>
      <c r="C69" s="492"/>
      <c r="D69" s="492"/>
      <c r="E69" s="493"/>
    </row>
    <row r="70" spans="1:5" ht="60" customHeight="1" thickBot="1" x14ac:dyDescent="0.3">
      <c r="A70" s="44" t="s">
        <v>71</v>
      </c>
      <c r="B70" s="45" t="s">
        <v>1</v>
      </c>
      <c r="C70" s="45" t="s">
        <v>72</v>
      </c>
      <c r="D70" s="45" t="s">
        <v>73</v>
      </c>
      <c r="E70" s="45" t="s">
        <v>74</v>
      </c>
    </row>
    <row r="71" spans="1:5" ht="15.75" thickBot="1" x14ac:dyDescent="0.3">
      <c r="A71" s="47"/>
      <c r="B71" s="48"/>
      <c r="C71" s="49" t="s">
        <v>23</v>
      </c>
      <c r="D71" s="49" t="s">
        <v>75</v>
      </c>
      <c r="E71" s="49" t="s">
        <v>76</v>
      </c>
    </row>
    <row r="72" spans="1:5" ht="15.75" thickBot="1" x14ac:dyDescent="0.3">
      <c r="A72" s="481">
        <v>1</v>
      </c>
      <c r="B72" s="49" t="s">
        <v>77</v>
      </c>
      <c r="C72" s="49">
        <v>80</v>
      </c>
      <c r="D72" s="481" t="s">
        <v>102</v>
      </c>
      <c r="E72" s="481">
        <f>(C73/1000*1.2)*$I$3+$I$2</f>
        <v>4988</v>
      </c>
    </row>
    <row r="73" spans="1:5" ht="30.75" thickBot="1" x14ac:dyDescent="0.3">
      <c r="A73" s="494"/>
      <c r="B73" s="49" t="s">
        <v>78</v>
      </c>
      <c r="C73" s="49">
        <v>4200</v>
      </c>
      <c r="D73" s="494"/>
      <c r="E73" s="494"/>
    </row>
    <row r="74" spans="1:5" ht="15.75" thickBot="1" x14ac:dyDescent="0.3">
      <c r="A74" s="482"/>
      <c r="B74" s="49" t="s">
        <v>96</v>
      </c>
      <c r="C74" s="49">
        <v>50</v>
      </c>
      <c r="D74" s="482"/>
      <c r="E74" s="482"/>
    </row>
    <row r="75" spans="1:5" ht="15.75" thickBot="1" x14ac:dyDescent="0.3">
      <c r="A75" s="50"/>
    </row>
    <row r="76" spans="1:5" ht="45" customHeight="1" thickBot="1" x14ac:dyDescent="0.3">
      <c r="A76" s="491" t="s">
        <v>88</v>
      </c>
      <c r="B76" s="492"/>
      <c r="C76" s="492"/>
      <c r="D76" s="492"/>
      <c r="E76" s="493"/>
    </row>
    <row r="77" spans="1:5" ht="52.5" customHeight="1" thickBot="1" x14ac:dyDescent="0.3">
      <c r="A77" s="44" t="s">
        <v>71</v>
      </c>
      <c r="B77" s="45" t="s">
        <v>1</v>
      </c>
      <c r="C77" s="45" t="s">
        <v>72</v>
      </c>
      <c r="D77" s="45" t="s">
        <v>73</v>
      </c>
      <c r="E77" s="45" t="s">
        <v>74</v>
      </c>
    </row>
    <row r="78" spans="1:5" ht="15.75" thickBot="1" x14ac:dyDescent="0.3">
      <c r="A78" s="47"/>
      <c r="B78" s="48"/>
      <c r="C78" s="49" t="s">
        <v>23</v>
      </c>
      <c r="D78" s="49" t="s">
        <v>75</v>
      </c>
      <c r="E78" s="49" t="s">
        <v>76</v>
      </c>
    </row>
    <row r="79" spans="1:5" ht="15.75" thickBot="1" x14ac:dyDescent="0.3">
      <c r="A79" s="481">
        <v>1</v>
      </c>
      <c r="B79" s="49" t="s">
        <v>77</v>
      </c>
      <c r="C79" s="49">
        <v>80</v>
      </c>
      <c r="D79" s="481" t="s">
        <v>103</v>
      </c>
      <c r="E79" s="481">
        <f>(C80/1000*1.2)*$I$3+$I$2</f>
        <v>7153.9999999999991</v>
      </c>
    </row>
    <row r="80" spans="1:5" ht="105.75" customHeight="1" thickBot="1" x14ac:dyDescent="0.3">
      <c r="A80" s="494"/>
      <c r="B80" s="49" t="s">
        <v>78</v>
      </c>
      <c r="C80" s="49">
        <f>3200+2900</f>
        <v>6100</v>
      </c>
      <c r="D80" s="494"/>
      <c r="E80" s="494"/>
    </row>
    <row r="81" spans="1:5" ht="15.75" thickBot="1" x14ac:dyDescent="0.3">
      <c r="A81" s="482"/>
      <c r="B81" s="49" t="s">
        <v>96</v>
      </c>
      <c r="C81" s="49">
        <v>50</v>
      </c>
      <c r="D81" s="482"/>
      <c r="E81" s="482"/>
    </row>
    <row r="82" spans="1:5" ht="15.75" thickBot="1" x14ac:dyDescent="0.3">
      <c r="A82" s="50"/>
    </row>
    <row r="83" spans="1:5" ht="45" customHeight="1" thickBot="1" x14ac:dyDescent="0.3">
      <c r="A83" s="491" t="s">
        <v>89</v>
      </c>
      <c r="B83" s="492"/>
      <c r="C83" s="492"/>
      <c r="D83" s="492"/>
      <c r="E83" s="493"/>
    </row>
    <row r="84" spans="1:5" ht="30.75" thickBot="1" x14ac:dyDescent="0.3">
      <c r="A84" s="44" t="s">
        <v>71</v>
      </c>
      <c r="B84" s="45" t="s">
        <v>1</v>
      </c>
      <c r="C84" s="45" t="s">
        <v>72</v>
      </c>
      <c r="D84" s="45" t="s">
        <v>73</v>
      </c>
      <c r="E84" s="45" t="s">
        <v>74</v>
      </c>
    </row>
    <row r="85" spans="1:5" ht="15.75" thickBot="1" x14ac:dyDescent="0.3">
      <c r="A85" s="47"/>
      <c r="B85" s="48"/>
      <c r="C85" s="49" t="s">
        <v>23</v>
      </c>
      <c r="D85" s="49" t="s">
        <v>75</v>
      </c>
      <c r="E85" s="49" t="s">
        <v>76</v>
      </c>
    </row>
    <row r="86" spans="1:5" ht="15.75" thickBot="1" x14ac:dyDescent="0.3">
      <c r="A86" s="481">
        <v>1</v>
      </c>
      <c r="B86" s="49" t="s">
        <v>77</v>
      </c>
      <c r="C86" s="49">
        <v>80</v>
      </c>
      <c r="D86" s="481" t="s">
        <v>104</v>
      </c>
      <c r="E86" s="481">
        <f>(C87/1000*1.2)*$I$3+$I$2</f>
        <v>8864</v>
      </c>
    </row>
    <row r="87" spans="1:5" ht="105.75" customHeight="1" thickBot="1" x14ac:dyDescent="0.3">
      <c r="A87" s="494"/>
      <c r="B87" s="49" t="s">
        <v>78</v>
      </c>
      <c r="C87" s="49">
        <f>3000+4600</f>
        <v>7600</v>
      </c>
      <c r="D87" s="494"/>
      <c r="E87" s="494"/>
    </row>
    <row r="88" spans="1:5" ht="15.75" thickBot="1" x14ac:dyDescent="0.3">
      <c r="A88" s="482"/>
      <c r="B88" s="49" t="s">
        <v>96</v>
      </c>
      <c r="C88" s="49">
        <v>50</v>
      </c>
      <c r="D88" s="482"/>
      <c r="E88" s="482"/>
    </row>
    <row r="89" spans="1:5" ht="15.75" thickBot="1" x14ac:dyDescent="0.3">
      <c r="A89" s="50"/>
    </row>
    <row r="90" spans="1:5" ht="45" customHeight="1" thickBot="1" x14ac:dyDescent="0.3">
      <c r="A90" s="491" t="s">
        <v>90</v>
      </c>
      <c r="B90" s="492"/>
      <c r="C90" s="492"/>
      <c r="D90" s="492"/>
      <c r="E90" s="493"/>
    </row>
    <row r="91" spans="1:5" ht="65.25" customHeight="1" thickBot="1" x14ac:dyDescent="0.3">
      <c r="A91" s="44" t="s">
        <v>71</v>
      </c>
      <c r="B91" s="45" t="s">
        <v>1</v>
      </c>
      <c r="C91" s="45" t="s">
        <v>72</v>
      </c>
      <c r="D91" s="45" t="s">
        <v>73</v>
      </c>
      <c r="E91" s="45" t="s">
        <v>74</v>
      </c>
    </row>
    <row r="92" spans="1:5" ht="15.75" thickBot="1" x14ac:dyDescent="0.3">
      <c r="A92" s="47"/>
      <c r="B92" s="48"/>
      <c r="C92" s="49" t="s">
        <v>23</v>
      </c>
      <c r="D92" s="49" t="s">
        <v>75</v>
      </c>
      <c r="E92" s="49" t="s">
        <v>76</v>
      </c>
    </row>
    <row r="93" spans="1:5" ht="15.75" thickBot="1" x14ac:dyDescent="0.3">
      <c r="A93" s="481">
        <v>1</v>
      </c>
      <c r="B93" s="49" t="s">
        <v>77</v>
      </c>
      <c r="C93" s="49">
        <v>80</v>
      </c>
      <c r="D93" s="481" t="s">
        <v>107</v>
      </c>
      <c r="E93" s="481">
        <f>(C94/1000*1.2)*$I$3+$I$2</f>
        <v>11030</v>
      </c>
    </row>
    <row r="94" spans="1:5" ht="105.75" customHeight="1" thickBot="1" x14ac:dyDescent="0.3">
      <c r="A94" s="494"/>
      <c r="B94" s="49" t="s">
        <v>78</v>
      </c>
      <c r="C94" s="49">
        <f>4000+5500</f>
        <v>9500</v>
      </c>
      <c r="D94" s="494"/>
      <c r="E94" s="494"/>
    </row>
    <row r="95" spans="1:5" ht="15.75" thickBot="1" x14ac:dyDescent="0.3">
      <c r="A95" s="482"/>
      <c r="B95" s="49" t="s">
        <v>96</v>
      </c>
      <c r="C95" s="49">
        <v>50</v>
      </c>
      <c r="D95" s="482"/>
      <c r="E95" s="482"/>
    </row>
    <row r="96" spans="1:5" ht="15.75" thickBot="1" x14ac:dyDescent="0.3">
      <c r="A96" s="50"/>
    </row>
    <row r="97" spans="1:5" ht="45" customHeight="1" thickBot="1" x14ac:dyDescent="0.3">
      <c r="A97" s="491" t="s">
        <v>91</v>
      </c>
      <c r="B97" s="492"/>
      <c r="C97" s="492"/>
      <c r="D97" s="492"/>
      <c r="E97" s="493"/>
    </row>
    <row r="98" spans="1:5" ht="30.75" thickBot="1" x14ac:dyDescent="0.3">
      <c r="A98" s="44" t="s">
        <v>71</v>
      </c>
      <c r="B98" s="45" t="s">
        <v>1</v>
      </c>
      <c r="C98" s="45" t="s">
        <v>72</v>
      </c>
      <c r="D98" s="45" t="s">
        <v>73</v>
      </c>
      <c r="E98" s="45" t="s">
        <v>74</v>
      </c>
    </row>
    <row r="99" spans="1:5" ht="15.75" thickBot="1" x14ac:dyDescent="0.3">
      <c r="A99" s="47"/>
      <c r="B99" s="48"/>
      <c r="C99" s="49" t="s">
        <v>23</v>
      </c>
      <c r="D99" s="49" t="s">
        <v>75</v>
      </c>
      <c r="E99" s="49" t="s">
        <v>76</v>
      </c>
    </row>
    <row r="100" spans="1:5" ht="15.75" thickBot="1" x14ac:dyDescent="0.3">
      <c r="A100" s="481">
        <v>1</v>
      </c>
      <c r="B100" s="49" t="s">
        <v>77</v>
      </c>
      <c r="C100" s="49">
        <v>80</v>
      </c>
      <c r="D100" s="481" t="s">
        <v>103</v>
      </c>
      <c r="E100" s="481">
        <f>(C101/1000*1.2)*$I$3+$I$2</f>
        <v>6777.7999999999993</v>
      </c>
    </row>
    <row r="101" spans="1:5" ht="105.75" customHeight="1" thickBot="1" x14ac:dyDescent="0.3">
      <c r="A101" s="494"/>
      <c r="B101" s="49" t="s">
        <v>78</v>
      </c>
      <c r="C101" s="49">
        <f>3200+2570</f>
        <v>5770</v>
      </c>
      <c r="D101" s="494"/>
      <c r="E101" s="494"/>
    </row>
    <row r="102" spans="1:5" ht="15.75" thickBot="1" x14ac:dyDescent="0.3">
      <c r="A102" s="482"/>
      <c r="B102" s="49" t="s">
        <v>96</v>
      </c>
      <c r="C102" s="49">
        <v>50</v>
      </c>
      <c r="D102" s="482"/>
      <c r="E102" s="482"/>
    </row>
    <row r="103" spans="1:5" ht="15.75" thickBot="1" x14ac:dyDescent="0.3">
      <c r="A103" s="50"/>
    </row>
    <row r="104" spans="1:5" ht="45" customHeight="1" thickBot="1" x14ac:dyDescent="0.3">
      <c r="A104" s="491" t="s">
        <v>92</v>
      </c>
      <c r="B104" s="492"/>
      <c r="C104" s="492"/>
      <c r="D104" s="492"/>
      <c r="E104" s="493"/>
    </row>
    <row r="105" spans="1:5" ht="50.25" customHeight="1" thickBot="1" x14ac:dyDescent="0.3">
      <c r="A105" s="44" t="s">
        <v>71</v>
      </c>
      <c r="B105" s="45" t="s">
        <v>1</v>
      </c>
      <c r="C105" s="45" t="s">
        <v>72</v>
      </c>
      <c r="D105" s="45" t="s">
        <v>73</v>
      </c>
      <c r="E105" s="45" t="s">
        <v>74</v>
      </c>
    </row>
    <row r="106" spans="1:5" ht="15.75" thickBot="1" x14ac:dyDescent="0.3">
      <c r="A106" s="47"/>
      <c r="B106" s="48"/>
      <c r="C106" s="49" t="s">
        <v>23</v>
      </c>
      <c r="D106" s="49" t="s">
        <v>75</v>
      </c>
      <c r="E106" s="49" t="s">
        <v>76</v>
      </c>
    </row>
    <row r="107" spans="1:5" ht="15.75" thickBot="1" x14ac:dyDescent="0.3">
      <c r="A107" s="481">
        <v>1</v>
      </c>
      <c r="B107" s="49" t="s">
        <v>77</v>
      </c>
      <c r="C107" s="49">
        <v>80</v>
      </c>
      <c r="D107" s="481" t="s">
        <v>104</v>
      </c>
      <c r="E107" s="481">
        <f>(C108/1000*1.2)*$I$3+$I$2</f>
        <v>8294</v>
      </c>
    </row>
    <row r="108" spans="1:5" ht="30.75" thickBot="1" x14ac:dyDescent="0.3">
      <c r="A108" s="494"/>
      <c r="B108" s="49" t="s">
        <v>78</v>
      </c>
      <c r="C108" s="49">
        <f>3000+4100</f>
        <v>7100</v>
      </c>
      <c r="D108" s="494"/>
      <c r="E108" s="494"/>
    </row>
    <row r="109" spans="1:5" ht="15.75" thickBot="1" x14ac:dyDescent="0.3">
      <c r="A109" s="482"/>
      <c r="B109" s="49" t="s">
        <v>96</v>
      </c>
      <c r="C109" s="49">
        <v>50</v>
      </c>
      <c r="D109" s="482"/>
      <c r="E109" s="482"/>
    </row>
    <row r="110" spans="1:5" ht="15.75" thickBot="1" x14ac:dyDescent="0.3">
      <c r="A110" s="50"/>
    </row>
    <row r="111" spans="1:5" ht="45" customHeight="1" thickBot="1" x14ac:dyDescent="0.3">
      <c r="A111" s="491" t="s">
        <v>93</v>
      </c>
      <c r="B111" s="492"/>
      <c r="C111" s="492"/>
      <c r="D111" s="492"/>
      <c r="E111" s="493"/>
    </row>
    <row r="112" spans="1:5" ht="30.75" thickBot="1" x14ac:dyDescent="0.3">
      <c r="A112" s="44" t="s">
        <v>71</v>
      </c>
      <c r="B112" s="45" t="s">
        <v>1</v>
      </c>
      <c r="C112" s="45" t="s">
        <v>72</v>
      </c>
      <c r="D112" s="45" t="s">
        <v>73</v>
      </c>
      <c r="E112" s="45" t="s">
        <v>74</v>
      </c>
    </row>
    <row r="113" spans="1:5" ht="15.75" thickBot="1" x14ac:dyDescent="0.3">
      <c r="A113" s="47"/>
      <c r="B113" s="48"/>
      <c r="C113" s="49" t="s">
        <v>23</v>
      </c>
      <c r="D113" s="49" t="s">
        <v>75</v>
      </c>
      <c r="E113" s="49" t="s">
        <v>76</v>
      </c>
    </row>
    <row r="114" spans="1:5" ht="15.75" thickBot="1" x14ac:dyDescent="0.3">
      <c r="A114" s="481">
        <v>1</v>
      </c>
      <c r="B114" s="49" t="s">
        <v>77</v>
      </c>
      <c r="C114" s="49">
        <v>80</v>
      </c>
      <c r="D114" s="481" t="s">
        <v>107</v>
      </c>
      <c r="E114" s="481">
        <f>(C115/1000*1.2)*$I$3+$I$2</f>
        <v>10357.4</v>
      </c>
    </row>
    <row r="115" spans="1:5" ht="105.75" customHeight="1" thickBot="1" x14ac:dyDescent="0.3">
      <c r="A115" s="494"/>
      <c r="B115" s="49" t="s">
        <v>78</v>
      </c>
      <c r="C115" s="49">
        <f>4000+4910</f>
        <v>8910</v>
      </c>
      <c r="D115" s="494"/>
      <c r="E115" s="494"/>
    </row>
    <row r="116" spans="1:5" ht="15.75" thickBot="1" x14ac:dyDescent="0.3">
      <c r="A116" s="482"/>
      <c r="B116" s="49" t="s">
        <v>96</v>
      </c>
      <c r="C116" s="49">
        <v>50</v>
      </c>
      <c r="D116" s="482"/>
      <c r="E116" s="482"/>
    </row>
    <row r="117" spans="1:5" x14ac:dyDescent="0.25">
      <c r="A117" s="50"/>
    </row>
  </sheetData>
  <mergeCells count="65">
    <mergeCell ref="A9:E9"/>
    <mergeCell ref="A1:E1"/>
    <mergeCell ref="A2:E2"/>
    <mergeCell ref="A5:A7"/>
    <mergeCell ref="D5:D7"/>
    <mergeCell ref="E5:E7"/>
    <mergeCell ref="A38:A40"/>
    <mergeCell ref="D38:D40"/>
    <mergeCell ref="E38:E40"/>
    <mergeCell ref="A12:A14"/>
    <mergeCell ref="D12:D14"/>
    <mergeCell ref="E12:E14"/>
    <mergeCell ref="A21:E21"/>
    <mergeCell ref="A24:A26"/>
    <mergeCell ref="D24:D26"/>
    <mergeCell ref="E24:E26"/>
    <mergeCell ref="A28:E28"/>
    <mergeCell ref="A31:A33"/>
    <mergeCell ref="D31:D33"/>
    <mergeCell ref="E31:E33"/>
    <mergeCell ref="A35:E35"/>
    <mergeCell ref="A65:A67"/>
    <mergeCell ref="D65:D67"/>
    <mergeCell ref="E65:E67"/>
    <mergeCell ref="A41:E41"/>
    <mergeCell ref="A44:A46"/>
    <mergeCell ref="D44:D46"/>
    <mergeCell ref="E44:E46"/>
    <mergeCell ref="A48:E48"/>
    <mergeCell ref="A51:A53"/>
    <mergeCell ref="D51:D53"/>
    <mergeCell ref="E51:E53"/>
    <mergeCell ref="A55:E55"/>
    <mergeCell ref="A58:A60"/>
    <mergeCell ref="D58:D60"/>
    <mergeCell ref="E58:E60"/>
    <mergeCell ref="A62:E62"/>
    <mergeCell ref="A93:A95"/>
    <mergeCell ref="D93:D95"/>
    <mergeCell ref="E93:E95"/>
    <mergeCell ref="A69:E69"/>
    <mergeCell ref="A72:A74"/>
    <mergeCell ref="D72:D74"/>
    <mergeCell ref="E72:E74"/>
    <mergeCell ref="A76:E76"/>
    <mergeCell ref="A79:A81"/>
    <mergeCell ref="D79:D81"/>
    <mergeCell ref="E79:E81"/>
    <mergeCell ref="A83:E83"/>
    <mergeCell ref="A86:A88"/>
    <mergeCell ref="D86:D88"/>
    <mergeCell ref="E86:E88"/>
    <mergeCell ref="A90:E90"/>
    <mergeCell ref="A111:E111"/>
    <mergeCell ref="A114:A116"/>
    <mergeCell ref="D114:D116"/>
    <mergeCell ref="E114:E116"/>
    <mergeCell ref="A97:E97"/>
    <mergeCell ref="A100:A102"/>
    <mergeCell ref="D100:D102"/>
    <mergeCell ref="E100:E102"/>
    <mergeCell ref="A104:E104"/>
    <mergeCell ref="A107:A109"/>
    <mergeCell ref="D107:D109"/>
    <mergeCell ref="E107:E109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1317-B8D0-47B0-A528-1E37739C5DCD}">
  <sheetPr>
    <pageSetUpPr fitToPage="1"/>
  </sheetPr>
  <dimension ref="A1:W36"/>
  <sheetViews>
    <sheetView zoomScale="70" zoomScaleNormal="70" workbookViewId="0">
      <selection activeCell="A10" sqref="A10:E17"/>
    </sheetView>
  </sheetViews>
  <sheetFormatPr defaultRowHeight="15" x14ac:dyDescent="0.25"/>
  <cols>
    <col min="2" max="2" width="31.7109375" customWidth="1"/>
    <col min="3" max="3" width="22.28515625" customWidth="1"/>
    <col min="4" max="4" width="32.42578125" customWidth="1"/>
    <col min="5" max="5" width="40.28515625" customWidth="1"/>
  </cols>
  <sheetData>
    <row r="1" spans="1:23" ht="24" thickBot="1" x14ac:dyDescent="0.3">
      <c r="A1" s="495" t="s">
        <v>267</v>
      </c>
      <c r="B1" s="496"/>
      <c r="C1" s="496"/>
      <c r="D1" s="496"/>
      <c r="E1" s="497"/>
    </row>
    <row r="2" spans="1:23" ht="15.75" thickBot="1" x14ac:dyDescent="0.3">
      <c r="A2" s="491" t="s">
        <v>268</v>
      </c>
      <c r="B2" s="492"/>
      <c r="C2" s="492"/>
      <c r="D2" s="492"/>
      <c r="E2" s="493"/>
    </row>
    <row r="3" spans="1:23" ht="30.75" thickBot="1" x14ac:dyDescent="0.3">
      <c r="A3" s="44" t="s">
        <v>71</v>
      </c>
      <c r="B3" s="45" t="s">
        <v>1</v>
      </c>
      <c r="C3" s="45" t="s">
        <v>72</v>
      </c>
      <c r="D3" s="45" t="s">
        <v>73</v>
      </c>
      <c r="E3" s="45" t="s">
        <v>274</v>
      </c>
      <c r="I3">
        <v>80</v>
      </c>
      <c r="J3">
        <v>50</v>
      </c>
    </row>
    <row r="4" spans="1:23" ht="15.75" thickBot="1" x14ac:dyDescent="0.3">
      <c r="A4" s="47"/>
      <c r="B4" s="48"/>
      <c r="C4" s="49" t="s">
        <v>23</v>
      </c>
      <c r="D4" s="49" t="s">
        <v>75</v>
      </c>
      <c r="E4" s="49" t="s">
        <v>76</v>
      </c>
    </row>
    <row r="5" spans="1:23" ht="17.45" customHeight="1" thickBot="1" x14ac:dyDescent="0.3">
      <c r="A5" s="481">
        <v>1</v>
      </c>
      <c r="B5" s="49" t="s">
        <v>269</v>
      </c>
      <c r="C5" s="49">
        <v>80</v>
      </c>
      <c r="D5" s="481" t="s">
        <v>105</v>
      </c>
      <c r="E5" s="498">
        <f>(C6/1000*1.2)*800+W12</f>
        <v>927.97501180916379</v>
      </c>
    </row>
    <row r="6" spans="1:23" ht="38.450000000000003" customHeight="1" thickBot="1" x14ac:dyDescent="0.3">
      <c r="A6" s="494"/>
      <c r="B6" s="49" t="s">
        <v>271</v>
      </c>
      <c r="C6" s="49">
        <v>780</v>
      </c>
      <c r="D6" s="494"/>
      <c r="E6" s="499"/>
      <c r="H6" s="278" t="s">
        <v>220</v>
      </c>
      <c r="I6" s="278" t="s">
        <v>1</v>
      </c>
      <c r="J6" s="278" t="s">
        <v>2</v>
      </c>
      <c r="K6" s="278" t="s">
        <v>3</v>
      </c>
      <c r="L6" s="278" t="s">
        <v>4</v>
      </c>
      <c r="M6" s="278" t="s">
        <v>5</v>
      </c>
      <c r="N6" s="278" t="s">
        <v>6</v>
      </c>
      <c r="O6" s="278"/>
      <c r="P6" s="278"/>
      <c r="Q6" s="278"/>
      <c r="R6" s="278"/>
      <c r="S6" s="278" t="s">
        <v>8</v>
      </c>
      <c r="T6" s="278" t="s">
        <v>9</v>
      </c>
      <c r="U6" s="278" t="s">
        <v>10</v>
      </c>
      <c r="V6" s="278" t="s">
        <v>222</v>
      </c>
      <c r="W6" s="338" t="s">
        <v>12</v>
      </c>
    </row>
    <row r="7" spans="1:23" ht="30.6" customHeight="1" thickBot="1" x14ac:dyDescent="0.3">
      <c r="A7" s="482"/>
      <c r="B7" s="49" t="s">
        <v>270</v>
      </c>
      <c r="C7" s="49">
        <v>50</v>
      </c>
      <c r="D7" s="482"/>
      <c r="E7" s="500"/>
      <c r="H7" s="278"/>
      <c r="I7" s="278"/>
      <c r="J7" s="278"/>
      <c r="K7" s="278"/>
      <c r="L7" s="278"/>
      <c r="M7" s="278"/>
      <c r="N7" s="278" t="s">
        <v>13</v>
      </c>
      <c r="O7" s="278" t="s">
        <v>14</v>
      </c>
      <c r="P7" s="278" t="s">
        <v>15</v>
      </c>
      <c r="Q7" s="278" t="s">
        <v>16</v>
      </c>
      <c r="R7" s="278" t="s">
        <v>17</v>
      </c>
      <c r="S7" s="278"/>
      <c r="T7" s="278"/>
      <c r="U7" s="278"/>
      <c r="V7" s="278"/>
      <c r="W7" s="338"/>
    </row>
    <row r="8" spans="1:23" x14ac:dyDescent="0.25"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338"/>
    </row>
    <row r="9" spans="1:23" ht="46.9" customHeight="1" thickBot="1" x14ac:dyDescent="0.3">
      <c r="H9" s="111" t="s">
        <v>18</v>
      </c>
      <c r="I9" s="111" t="s">
        <v>19</v>
      </c>
      <c r="J9" s="111"/>
      <c r="K9" s="111" t="s">
        <v>20</v>
      </c>
      <c r="L9" s="111" t="s">
        <v>21</v>
      </c>
      <c r="M9" s="111" t="s">
        <v>22</v>
      </c>
      <c r="N9" s="111" t="s">
        <v>23</v>
      </c>
      <c r="O9" s="111" t="s">
        <v>23</v>
      </c>
      <c r="P9" s="111" t="s">
        <v>24</v>
      </c>
      <c r="Q9" s="111" t="s">
        <v>22</v>
      </c>
      <c r="R9" s="111" t="s">
        <v>24</v>
      </c>
      <c r="S9" s="111" t="s">
        <v>25</v>
      </c>
      <c r="T9" s="111" t="s">
        <v>25</v>
      </c>
      <c r="U9" s="111" t="s">
        <v>26</v>
      </c>
      <c r="V9" s="111" t="s">
        <v>27</v>
      </c>
      <c r="W9" s="111" t="s">
        <v>28</v>
      </c>
    </row>
    <row r="10" spans="1:23" ht="47.45" customHeight="1" thickBot="1" x14ac:dyDescent="0.3">
      <c r="A10" s="495" t="s">
        <v>267</v>
      </c>
      <c r="B10" s="496"/>
      <c r="C10" s="496"/>
      <c r="D10" s="496"/>
      <c r="E10" s="497"/>
      <c r="H10" s="111">
        <v>1</v>
      </c>
      <c r="I10" s="12" t="s">
        <v>42</v>
      </c>
      <c r="J10" s="12" t="s">
        <v>29</v>
      </c>
      <c r="K10" s="111" t="s">
        <v>30</v>
      </c>
      <c r="L10" s="111">
        <v>1.4</v>
      </c>
      <c r="M10" s="111">
        <v>73</v>
      </c>
      <c r="N10" s="16">
        <f>O10*(105)/M10</f>
        <v>115.06849315068493</v>
      </c>
      <c r="O10" s="111">
        <v>80</v>
      </c>
      <c r="P10" s="17">
        <f>1/(O10/(10*M10))</f>
        <v>9.125</v>
      </c>
      <c r="Q10" s="111">
        <v>0</v>
      </c>
      <c r="R10" s="17">
        <f>P10-(P10/100*Q10)</f>
        <v>9.125</v>
      </c>
      <c r="S10" s="8">
        <v>620</v>
      </c>
      <c r="T10" s="8">
        <f>L10*S10</f>
        <v>868</v>
      </c>
      <c r="U10" s="9">
        <f>H10/R10</f>
        <v>0.1095890410958904</v>
      </c>
      <c r="V10" s="9">
        <f>L10*U10</f>
        <v>0.15342465753424656</v>
      </c>
      <c r="W10" s="18">
        <f>V10*S10</f>
        <v>95.123287671232859</v>
      </c>
    </row>
    <row r="11" spans="1:23" ht="18" customHeight="1" thickBot="1" x14ac:dyDescent="0.3">
      <c r="A11" s="491" t="s">
        <v>272</v>
      </c>
      <c r="B11" s="492"/>
      <c r="C11" s="492"/>
      <c r="D11" s="492"/>
      <c r="E11" s="493"/>
      <c r="H11" s="111">
        <v>1</v>
      </c>
      <c r="I11" s="12" t="s">
        <v>43</v>
      </c>
      <c r="J11" s="12" t="s">
        <v>32</v>
      </c>
      <c r="K11" s="19">
        <v>7047</v>
      </c>
      <c r="L11" s="111">
        <v>1.3</v>
      </c>
      <c r="M11" s="111">
        <v>58</v>
      </c>
      <c r="N11" s="16">
        <f>O11*105/M11</f>
        <v>90.517241379310349</v>
      </c>
      <c r="O11" s="111">
        <v>50</v>
      </c>
      <c r="P11" s="17">
        <f>1/(O11/(10*M11))</f>
        <v>11.6</v>
      </c>
      <c r="Q11" s="111">
        <v>0</v>
      </c>
      <c r="R11" s="17">
        <f>P11-(P11/100*Q11)</f>
        <v>11.6</v>
      </c>
      <c r="S11" s="8">
        <v>750</v>
      </c>
      <c r="T11" s="8">
        <f>L11*S11</f>
        <v>975</v>
      </c>
      <c r="U11" s="9">
        <f>H11/R11</f>
        <v>8.6206896551724144E-2</v>
      </c>
      <c r="V11" s="9">
        <f>L11*U11</f>
        <v>0.1120689655172414</v>
      </c>
      <c r="W11" s="18">
        <f>V11*S11</f>
        <v>84.051724137931046</v>
      </c>
    </row>
    <row r="12" spans="1:23" ht="30.75" thickBot="1" x14ac:dyDescent="0.3">
      <c r="A12" s="44" t="s">
        <v>71</v>
      </c>
      <c r="B12" s="45" t="s">
        <v>1</v>
      </c>
      <c r="C12" s="45" t="s">
        <v>72</v>
      </c>
      <c r="D12" s="45" t="s">
        <v>73</v>
      </c>
      <c r="E12" s="45" t="s">
        <v>274</v>
      </c>
      <c r="H12" s="111"/>
      <c r="I12" s="335" t="s">
        <v>35</v>
      </c>
      <c r="J12" s="335"/>
      <c r="K12" s="335"/>
      <c r="L12" s="335"/>
      <c r="M12" s="335"/>
      <c r="N12" s="335"/>
      <c r="O12" s="111">
        <f>SUM(O10:O11)</f>
        <v>130</v>
      </c>
      <c r="P12" s="274" t="s">
        <v>223</v>
      </c>
      <c r="Q12" s="274"/>
      <c r="R12" s="274"/>
      <c r="S12" s="274"/>
      <c r="T12" s="274"/>
      <c r="U12" s="274"/>
      <c r="V12" s="274"/>
      <c r="W12" s="96">
        <f>SUM(W10:W11)</f>
        <v>179.17501180916389</v>
      </c>
    </row>
    <row r="13" spans="1:23" ht="15.75" thickBot="1" x14ac:dyDescent="0.3">
      <c r="A13" s="47"/>
      <c r="B13" s="48"/>
      <c r="C13" s="49" t="s">
        <v>23</v>
      </c>
      <c r="D13" s="49" t="s">
        <v>75</v>
      </c>
      <c r="E13" s="49" t="s">
        <v>76</v>
      </c>
    </row>
    <row r="14" spans="1:23" ht="15.75" thickBot="1" x14ac:dyDescent="0.3">
      <c r="A14" s="481">
        <v>1</v>
      </c>
      <c r="B14" s="49" t="s">
        <v>269</v>
      </c>
      <c r="C14" s="49">
        <v>80</v>
      </c>
      <c r="D14" s="481" t="s">
        <v>103</v>
      </c>
      <c r="E14" s="498">
        <f>((C15/1000*1.2)+(C16/1000*1.2))*800+W12</f>
        <v>3615.9750118091633</v>
      </c>
    </row>
    <row r="15" spans="1:23" ht="30.75" thickBot="1" x14ac:dyDescent="0.3">
      <c r="A15" s="494"/>
      <c r="B15" s="49" t="s">
        <v>273</v>
      </c>
      <c r="C15" s="49">
        <v>1600</v>
      </c>
      <c r="D15" s="494"/>
      <c r="E15" s="499"/>
    </row>
    <row r="16" spans="1:23" ht="37.9" customHeight="1" thickBot="1" x14ac:dyDescent="0.3">
      <c r="A16" s="494"/>
      <c r="B16" s="49" t="s">
        <v>271</v>
      </c>
      <c r="C16" s="49">
        <v>1980</v>
      </c>
      <c r="D16" s="494"/>
      <c r="E16" s="499"/>
    </row>
    <row r="17" spans="1:5" ht="15.75" thickBot="1" x14ac:dyDescent="0.3">
      <c r="A17" s="482"/>
      <c r="B17" s="49" t="s">
        <v>270</v>
      </c>
      <c r="C17" s="49">
        <v>50</v>
      </c>
      <c r="D17" s="482"/>
      <c r="E17" s="500"/>
    </row>
    <row r="21" spans="1:5" ht="15.75" thickBot="1" x14ac:dyDescent="0.3"/>
    <row r="22" spans="1:5" ht="24" thickBot="1" x14ac:dyDescent="0.3">
      <c r="A22" s="510" t="s">
        <v>267</v>
      </c>
      <c r="B22" s="511"/>
      <c r="C22" s="511"/>
      <c r="D22" s="511"/>
      <c r="E22" s="512"/>
    </row>
    <row r="23" spans="1:5" ht="15.75" thickBot="1" x14ac:dyDescent="0.3">
      <c r="A23" s="501" t="s">
        <v>268</v>
      </c>
      <c r="B23" s="492"/>
      <c r="C23" s="492"/>
      <c r="D23" s="492"/>
      <c r="E23" s="502"/>
    </row>
    <row r="24" spans="1:5" ht="30.75" thickBot="1" x14ac:dyDescent="0.3">
      <c r="A24" s="115" t="s">
        <v>71</v>
      </c>
      <c r="B24" s="45" t="s">
        <v>1</v>
      </c>
      <c r="C24" s="45" t="s">
        <v>72</v>
      </c>
      <c r="D24" s="45" t="s">
        <v>73</v>
      </c>
      <c r="E24" s="116" t="s">
        <v>274</v>
      </c>
    </row>
    <row r="25" spans="1:5" ht="15.75" thickBot="1" x14ac:dyDescent="0.3">
      <c r="A25" s="117"/>
      <c r="B25" s="48"/>
      <c r="C25" s="49" t="s">
        <v>23</v>
      </c>
      <c r="D25" s="49" t="s">
        <v>75</v>
      </c>
      <c r="E25" s="118" t="s">
        <v>76</v>
      </c>
    </row>
    <row r="26" spans="1:5" ht="15.75" thickBot="1" x14ac:dyDescent="0.3">
      <c r="A26" s="503">
        <v>1</v>
      </c>
      <c r="B26" s="49" t="s">
        <v>269</v>
      </c>
      <c r="C26" s="49">
        <v>80</v>
      </c>
      <c r="D26" s="481" t="s">
        <v>105</v>
      </c>
      <c r="E26" s="507">
        <f>(C27/1000*1.2)*800+W10</f>
        <v>843.92328767123286</v>
      </c>
    </row>
    <row r="27" spans="1:5" ht="30.75" thickBot="1" x14ac:dyDescent="0.3">
      <c r="A27" s="505"/>
      <c r="B27" s="119" t="s">
        <v>271</v>
      </c>
      <c r="C27" s="119">
        <v>780</v>
      </c>
      <c r="D27" s="506"/>
      <c r="E27" s="509"/>
    </row>
    <row r="29" spans="1:5" ht="15.75" thickBot="1" x14ac:dyDescent="0.3"/>
    <row r="30" spans="1:5" ht="24" thickBot="1" x14ac:dyDescent="0.3">
      <c r="A30" s="510" t="s">
        <v>267</v>
      </c>
      <c r="B30" s="511"/>
      <c r="C30" s="511"/>
      <c r="D30" s="511"/>
      <c r="E30" s="512"/>
    </row>
    <row r="31" spans="1:5" ht="15.75" thickBot="1" x14ac:dyDescent="0.3">
      <c r="A31" s="501" t="s">
        <v>272</v>
      </c>
      <c r="B31" s="492"/>
      <c r="C31" s="492"/>
      <c r="D31" s="492"/>
      <c r="E31" s="502"/>
    </row>
    <row r="32" spans="1:5" ht="30.75" thickBot="1" x14ac:dyDescent="0.3">
      <c r="A32" s="115" t="s">
        <v>71</v>
      </c>
      <c r="B32" s="45" t="s">
        <v>1</v>
      </c>
      <c r="C32" s="45" t="s">
        <v>72</v>
      </c>
      <c r="D32" s="45" t="s">
        <v>73</v>
      </c>
      <c r="E32" s="116" t="s">
        <v>274</v>
      </c>
    </row>
    <row r="33" spans="1:5" ht="15.75" thickBot="1" x14ac:dyDescent="0.3">
      <c r="A33" s="117"/>
      <c r="B33" s="48"/>
      <c r="C33" s="49" t="s">
        <v>23</v>
      </c>
      <c r="D33" s="49" t="s">
        <v>75</v>
      </c>
      <c r="E33" s="118" t="s">
        <v>76</v>
      </c>
    </row>
    <row r="34" spans="1:5" ht="15.75" thickBot="1" x14ac:dyDescent="0.3">
      <c r="A34" s="503">
        <v>1</v>
      </c>
      <c r="B34" s="49" t="s">
        <v>269</v>
      </c>
      <c r="C34" s="49">
        <v>80</v>
      </c>
      <c r="D34" s="481" t="s">
        <v>103</v>
      </c>
      <c r="E34" s="507">
        <f>((C35/1000*1.2)+(C36/1000*1.2))*800+W10</f>
        <v>3531.9232876712322</v>
      </c>
    </row>
    <row r="35" spans="1:5" ht="30.75" thickBot="1" x14ac:dyDescent="0.3">
      <c r="A35" s="504"/>
      <c r="B35" s="49" t="s">
        <v>273</v>
      </c>
      <c r="C35" s="49">
        <v>1600</v>
      </c>
      <c r="D35" s="494"/>
      <c r="E35" s="508"/>
    </row>
    <row r="36" spans="1:5" ht="30.75" thickBot="1" x14ac:dyDescent="0.3">
      <c r="A36" s="505"/>
      <c r="B36" s="119" t="s">
        <v>271</v>
      </c>
      <c r="C36" s="119">
        <v>1980</v>
      </c>
      <c r="D36" s="506"/>
      <c r="E36" s="509"/>
    </row>
  </sheetData>
  <mergeCells count="40">
    <mergeCell ref="A1:E1"/>
    <mergeCell ref="A2:E2"/>
    <mergeCell ref="A5:A7"/>
    <mergeCell ref="D5:D7"/>
    <mergeCell ref="E5:E7"/>
    <mergeCell ref="W6:W8"/>
    <mergeCell ref="P7:P8"/>
    <mergeCell ref="Q7:Q8"/>
    <mergeCell ref="R7:R8"/>
    <mergeCell ref="I6:I8"/>
    <mergeCell ref="J6:J8"/>
    <mergeCell ref="K6:K8"/>
    <mergeCell ref="L6:L8"/>
    <mergeCell ref="M6:M8"/>
    <mergeCell ref="N6:O6"/>
    <mergeCell ref="N7:N8"/>
    <mergeCell ref="O7:O8"/>
    <mergeCell ref="P6:R6"/>
    <mergeCell ref="S6:S8"/>
    <mergeCell ref="T6:T8"/>
    <mergeCell ref="U6:U8"/>
    <mergeCell ref="V6:V8"/>
    <mergeCell ref="I12:N12"/>
    <mergeCell ref="P12:V12"/>
    <mergeCell ref="A10:E10"/>
    <mergeCell ref="A11:E11"/>
    <mergeCell ref="H6:H8"/>
    <mergeCell ref="A14:A17"/>
    <mergeCell ref="D14:D17"/>
    <mergeCell ref="E14:E17"/>
    <mergeCell ref="A31:E31"/>
    <mergeCell ref="A34:A36"/>
    <mergeCell ref="D34:D36"/>
    <mergeCell ref="E34:E36"/>
    <mergeCell ref="A22:E22"/>
    <mergeCell ref="A23:E23"/>
    <mergeCell ref="A26:A27"/>
    <mergeCell ref="D26:D27"/>
    <mergeCell ref="E26:E27"/>
    <mergeCell ref="A30:E30"/>
  </mergeCells>
  <pageMargins left="0.7" right="0.7" top="0.75" bottom="0.75" header="0.3" footer="0.3"/>
  <pageSetup paperSize="9" scale="44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41"/>
  <sheetViews>
    <sheetView topLeftCell="A115" zoomScale="85" zoomScaleNormal="85" workbookViewId="0">
      <selection activeCell="F242" sqref="F242"/>
    </sheetView>
  </sheetViews>
  <sheetFormatPr defaultColWidth="9.140625" defaultRowHeight="15" x14ac:dyDescent="0.25"/>
  <cols>
    <col min="1" max="1" width="14.7109375" style="14" customWidth="1"/>
    <col min="2" max="2" width="22.140625" style="14" customWidth="1"/>
    <col min="3" max="3" width="17.5703125" style="14" customWidth="1"/>
    <col min="4" max="4" width="19" style="14" customWidth="1"/>
    <col min="5" max="5" width="17.7109375" style="14" customWidth="1"/>
    <col min="6" max="6" width="12.140625" style="14" customWidth="1"/>
    <col min="7" max="7" width="16.140625" style="14" customWidth="1"/>
    <col min="8" max="16384" width="9.140625" style="14"/>
  </cols>
  <sheetData>
    <row r="1" spans="1:7" x14ac:dyDescent="0.25">
      <c r="A1" s="519" t="s">
        <v>160</v>
      </c>
      <c r="B1" s="57" t="s">
        <v>73</v>
      </c>
      <c r="C1" s="57" t="s">
        <v>157</v>
      </c>
      <c r="D1" s="57" t="s">
        <v>158</v>
      </c>
      <c r="E1" s="57" t="s">
        <v>159</v>
      </c>
    </row>
    <row r="2" spans="1:7" x14ac:dyDescent="0.25">
      <c r="A2" s="520"/>
      <c r="B2" s="57" t="s">
        <v>104</v>
      </c>
      <c r="C2" s="57">
        <v>6.5</v>
      </c>
      <c r="D2" s="57">
        <v>9</v>
      </c>
      <c r="E2" s="57">
        <f>D2*1.2</f>
        <v>10.799999999999999</v>
      </c>
      <c r="G2" s="14">
        <f>9*1.2</f>
        <v>10.799999999999999</v>
      </c>
    </row>
    <row r="3" spans="1:7" x14ac:dyDescent="0.25">
      <c r="A3" s="520"/>
      <c r="B3" s="57" t="s">
        <v>103</v>
      </c>
      <c r="C3" s="57">
        <v>5.5</v>
      </c>
      <c r="D3" s="57">
        <v>7</v>
      </c>
      <c r="E3" s="57">
        <f>D3*1.2</f>
        <v>8.4</v>
      </c>
    </row>
    <row r="4" spans="1:7" x14ac:dyDescent="0.25">
      <c r="A4" s="521"/>
      <c r="B4" s="57" t="s">
        <v>102</v>
      </c>
      <c r="C4" s="57">
        <v>5.3</v>
      </c>
      <c r="D4" s="57">
        <v>5.5</v>
      </c>
      <c r="E4" s="57">
        <f>D4*1.2</f>
        <v>6.6</v>
      </c>
    </row>
    <row r="7" spans="1:7" x14ac:dyDescent="0.25">
      <c r="A7" s="522" t="s">
        <v>362</v>
      </c>
      <c r="B7" s="57" t="s">
        <v>73</v>
      </c>
      <c r="C7" s="57" t="s">
        <v>157</v>
      </c>
      <c r="D7" s="57" t="s">
        <v>158</v>
      </c>
      <c r="E7" s="57" t="s">
        <v>159</v>
      </c>
    </row>
    <row r="8" spans="1:7" x14ac:dyDescent="0.25">
      <c r="A8" s="523"/>
      <c r="B8" s="57" t="s">
        <v>104</v>
      </c>
      <c r="C8" s="57">
        <v>7.2</v>
      </c>
      <c r="D8" s="57">
        <v>7.24</v>
      </c>
      <c r="E8" s="57">
        <f>D8*1</f>
        <v>7.24</v>
      </c>
    </row>
    <row r="9" spans="1:7" x14ac:dyDescent="0.25">
      <c r="A9" s="523"/>
      <c r="B9" s="57" t="s">
        <v>103</v>
      </c>
      <c r="C9" s="57">
        <v>5.5</v>
      </c>
      <c r="D9" s="57">
        <v>6.12</v>
      </c>
      <c r="E9" s="57">
        <f>D9*1</f>
        <v>6.12</v>
      </c>
    </row>
    <row r="10" spans="1:7" x14ac:dyDescent="0.25">
      <c r="A10" s="524"/>
      <c r="B10" s="57" t="s">
        <v>102</v>
      </c>
      <c r="C10" s="57">
        <v>5.3</v>
      </c>
      <c r="D10" s="57">
        <v>4.42</v>
      </c>
      <c r="E10" s="57">
        <f>D10*1</f>
        <v>4.42</v>
      </c>
    </row>
    <row r="13" spans="1:7" x14ac:dyDescent="0.25">
      <c r="A13" s="403" t="s">
        <v>161</v>
      </c>
      <c r="B13" s="403"/>
      <c r="C13" s="403"/>
    </row>
    <row r="14" spans="1:7" ht="45" x14ac:dyDescent="0.25">
      <c r="A14" s="57" t="s">
        <v>162</v>
      </c>
      <c r="B14" s="57" t="s">
        <v>165</v>
      </c>
      <c r="C14" s="58" t="s">
        <v>163</v>
      </c>
    </row>
    <row r="15" spans="1:7" x14ac:dyDescent="0.25">
      <c r="A15" s="57" t="s">
        <v>104</v>
      </c>
      <c r="B15" s="57">
        <v>26000</v>
      </c>
      <c r="C15" s="57">
        <f>B15/E8</f>
        <v>3591.1602209944749</v>
      </c>
    </row>
    <row r="16" spans="1:7" x14ac:dyDescent="0.25">
      <c r="A16" s="57" t="s">
        <v>103</v>
      </c>
      <c r="B16" s="57">
        <v>3000</v>
      </c>
      <c r="C16" s="57">
        <f t="shared" ref="C16:C17" si="0">B16/E9</f>
        <v>490.19607843137254</v>
      </c>
    </row>
    <row r="17" spans="1:3" x14ac:dyDescent="0.25">
      <c r="A17" s="57" t="s">
        <v>102</v>
      </c>
      <c r="B17" s="57">
        <v>25000</v>
      </c>
      <c r="C17" s="57">
        <f t="shared" si="0"/>
        <v>5656.1085972850678</v>
      </c>
    </row>
    <row r="18" spans="1:3" x14ac:dyDescent="0.25">
      <c r="A18" s="60" t="s">
        <v>166</v>
      </c>
      <c r="B18" s="14">
        <f>SUM(B15:B17)</f>
        <v>54000</v>
      </c>
    </row>
    <row r="20" spans="1:3" x14ac:dyDescent="0.25">
      <c r="A20" s="403" t="s">
        <v>160</v>
      </c>
      <c r="B20" s="403"/>
      <c r="C20" s="403"/>
    </row>
    <row r="21" spans="1:3" ht="45" x14ac:dyDescent="0.25">
      <c r="A21" s="57" t="s">
        <v>162</v>
      </c>
      <c r="B21" s="57" t="s">
        <v>165</v>
      </c>
      <c r="C21" s="58" t="s">
        <v>163</v>
      </c>
    </row>
    <row r="22" spans="1:3" x14ac:dyDescent="0.25">
      <c r="A22" s="57" t="s">
        <v>104</v>
      </c>
      <c r="B22" s="59">
        <f>C22*E2</f>
        <v>38784.530386740327</v>
      </c>
      <c r="C22" s="57">
        <v>3591.1602209944749</v>
      </c>
    </row>
    <row r="23" spans="1:3" x14ac:dyDescent="0.25">
      <c r="A23" s="57" t="s">
        <v>103</v>
      </c>
      <c r="B23" s="59">
        <f t="shared" ref="B23:B24" si="1">C23*E3</f>
        <v>4117.6470588235297</v>
      </c>
      <c r="C23" s="57">
        <v>490.19607843137254</v>
      </c>
    </row>
    <row r="24" spans="1:3" x14ac:dyDescent="0.25">
      <c r="A24" s="57" t="s">
        <v>102</v>
      </c>
      <c r="B24" s="59">
        <f t="shared" si="1"/>
        <v>37330.316742081442</v>
      </c>
      <c r="C24" s="57">
        <v>5656.1085972850678</v>
      </c>
    </row>
    <row r="25" spans="1:3" x14ac:dyDescent="0.25">
      <c r="A25" s="60" t="s">
        <v>166</v>
      </c>
      <c r="B25" s="61">
        <f>SUM(B22:B24)</f>
        <v>80232.494187645294</v>
      </c>
    </row>
    <row r="27" spans="1:3" ht="75" x14ac:dyDescent="0.25">
      <c r="A27" s="57" t="s">
        <v>162</v>
      </c>
      <c r="B27" s="58" t="s">
        <v>164</v>
      </c>
    </row>
    <row r="28" spans="1:3" x14ac:dyDescent="0.25">
      <c r="A28" s="57" t="s">
        <v>104</v>
      </c>
      <c r="B28" s="59">
        <f>(B22/B15)*100-100</f>
        <v>49.171270718232023</v>
      </c>
    </row>
    <row r="29" spans="1:3" x14ac:dyDescent="0.25">
      <c r="A29" s="57" t="s">
        <v>103</v>
      </c>
      <c r="B29" s="59">
        <f t="shared" ref="B29:B30" si="2">(B23/B16)*100-100</f>
        <v>37.254901960784309</v>
      </c>
    </row>
    <row r="30" spans="1:3" x14ac:dyDescent="0.25">
      <c r="A30" s="57" t="s">
        <v>102</v>
      </c>
      <c r="B30" s="59">
        <f t="shared" si="2"/>
        <v>49.321266968325773</v>
      </c>
    </row>
    <row r="36" spans="1:5" x14ac:dyDescent="0.25">
      <c r="A36" s="403" t="s">
        <v>200</v>
      </c>
      <c r="B36" s="57" t="s">
        <v>73</v>
      </c>
      <c r="C36" s="57" t="s">
        <v>157</v>
      </c>
      <c r="D36" s="57" t="s">
        <v>158</v>
      </c>
      <c r="E36" s="57" t="s">
        <v>159</v>
      </c>
    </row>
    <row r="37" spans="1:5" x14ac:dyDescent="0.25">
      <c r="A37" s="403"/>
      <c r="B37" s="57" t="s">
        <v>105</v>
      </c>
      <c r="C37" s="57">
        <v>3.4</v>
      </c>
      <c r="D37" s="57">
        <v>0.8</v>
      </c>
      <c r="E37" s="57">
        <f>D37*1.25</f>
        <v>1</v>
      </c>
    </row>
    <row r="38" spans="1:5" x14ac:dyDescent="0.25">
      <c r="A38" s="403"/>
      <c r="B38" s="57" t="s">
        <v>102</v>
      </c>
      <c r="C38" s="57">
        <v>3.4</v>
      </c>
      <c r="D38" s="57">
        <v>1.25</v>
      </c>
      <c r="E38" s="57">
        <f t="shared" ref="E38:E40" si="3">D38*1.25</f>
        <v>1.5625</v>
      </c>
    </row>
    <row r="39" spans="1:5" x14ac:dyDescent="0.25">
      <c r="A39" s="403"/>
      <c r="B39" s="57" t="s">
        <v>103</v>
      </c>
      <c r="C39" s="57">
        <v>5.8</v>
      </c>
      <c r="D39" s="57">
        <v>1.5</v>
      </c>
      <c r="E39" s="57">
        <f t="shared" si="3"/>
        <v>1.875</v>
      </c>
    </row>
    <row r="40" spans="1:5" x14ac:dyDescent="0.25">
      <c r="A40" s="403"/>
      <c r="B40" s="57" t="s">
        <v>104</v>
      </c>
      <c r="C40" s="57">
        <v>7.2</v>
      </c>
      <c r="D40" s="57">
        <v>2.1</v>
      </c>
      <c r="E40" s="57">
        <f t="shared" si="3"/>
        <v>2.625</v>
      </c>
    </row>
    <row r="43" spans="1:5" x14ac:dyDescent="0.25">
      <c r="A43" s="403" t="s">
        <v>201</v>
      </c>
      <c r="B43" s="57" t="s">
        <v>73</v>
      </c>
      <c r="C43" s="57" t="s">
        <v>157</v>
      </c>
      <c r="D43" s="57" t="s">
        <v>158</v>
      </c>
      <c r="E43" s="57" t="s">
        <v>159</v>
      </c>
    </row>
    <row r="44" spans="1:5" x14ac:dyDescent="0.25">
      <c r="A44" s="403"/>
      <c r="B44" s="57" t="s">
        <v>105</v>
      </c>
      <c r="C44" s="57">
        <v>3.4</v>
      </c>
      <c r="D44" s="57">
        <v>0.75</v>
      </c>
      <c r="E44" s="57">
        <f>D44*1.7</f>
        <v>1.2749999999999999</v>
      </c>
    </row>
    <row r="45" spans="1:5" x14ac:dyDescent="0.25">
      <c r="A45" s="403"/>
      <c r="B45" s="57" t="s">
        <v>102</v>
      </c>
      <c r="C45" s="57">
        <v>3.4</v>
      </c>
      <c r="D45" s="57">
        <v>1.2</v>
      </c>
      <c r="E45" s="57">
        <f t="shared" ref="E45:E47" si="4">D45*1.7</f>
        <v>2.04</v>
      </c>
    </row>
    <row r="46" spans="1:5" x14ac:dyDescent="0.25">
      <c r="A46" s="403"/>
      <c r="B46" s="57" t="s">
        <v>103</v>
      </c>
      <c r="C46" s="57">
        <v>5.8</v>
      </c>
      <c r="D46" s="57">
        <v>1.42</v>
      </c>
      <c r="E46" s="57">
        <f t="shared" si="4"/>
        <v>2.4139999999999997</v>
      </c>
    </row>
    <row r="47" spans="1:5" x14ac:dyDescent="0.25">
      <c r="A47" s="403"/>
      <c r="B47" s="57" t="s">
        <v>104</v>
      </c>
      <c r="C47" s="57">
        <v>7.2</v>
      </c>
      <c r="D47" s="57">
        <v>2.0499999999999998</v>
      </c>
      <c r="E47" s="57">
        <f t="shared" si="4"/>
        <v>3.4849999999999994</v>
      </c>
    </row>
    <row r="52" spans="1:5" x14ac:dyDescent="0.25">
      <c r="A52" s="403" t="s">
        <v>202</v>
      </c>
      <c r="B52" s="57" t="s">
        <v>73</v>
      </c>
      <c r="C52" s="57" t="s">
        <v>157</v>
      </c>
      <c r="D52" s="57" t="s">
        <v>158</v>
      </c>
      <c r="E52" s="57" t="s">
        <v>159</v>
      </c>
    </row>
    <row r="53" spans="1:5" x14ac:dyDescent="0.25">
      <c r="A53" s="403"/>
      <c r="B53" s="57" t="s">
        <v>105</v>
      </c>
      <c r="C53" s="57">
        <v>3.4</v>
      </c>
      <c r="D53" s="57">
        <v>2.2000000000000002</v>
      </c>
      <c r="E53" s="57">
        <f>D53*1.25</f>
        <v>2.75</v>
      </c>
    </row>
    <row r="54" spans="1:5" x14ac:dyDescent="0.25">
      <c r="A54" s="403"/>
      <c r="B54" s="57" t="s">
        <v>102</v>
      </c>
      <c r="C54" s="57">
        <v>3.4</v>
      </c>
      <c r="D54" s="57">
        <v>3.3</v>
      </c>
      <c r="E54" s="57">
        <f t="shared" ref="E54:E56" si="5">D54*1.25</f>
        <v>4.125</v>
      </c>
    </row>
    <row r="55" spans="1:5" x14ac:dyDescent="0.25">
      <c r="A55" s="403"/>
      <c r="B55" s="57" t="s">
        <v>103</v>
      </c>
      <c r="C55" s="57">
        <v>5.8</v>
      </c>
      <c r="D55" s="57">
        <v>4.0999999999999996</v>
      </c>
      <c r="E55" s="57">
        <f t="shared" si="5"/>
        <v>5.125</v>
      </c>
    </row>
    <row r="56" spans="1:5" x14ac:dyDescent="0.25">
      <c r="A56" s="403"/>
      <c r="B56" s="57" t="s">
        <v>104</v>
      </c>
      <c r="C56" s="57">
        <v>7.2</v>
      </c>
      <c r="D56" s="57">
        <v>7.3</v>
      </c>
      <c r="E56" s="57">
        <f t="shared" si="5"/>
        <v>9.125</v>
      </c>
    </row>
    <row r="58" spans="1:5" x14ac:dyDescent="0.25">
      <c r="A58" s="403" t="s">
        <v>203</v>
      </c>
      <c r="B58" s="57" t="s">
        <v>73</v>
      </c>
      <c r="C58" s="57" t="s">
        <v>157</v>
      </c>
      <c r="D58" s="57" t="s">
        <v>158</v>
      </c>
      <c r="E58" s="57" t="s">
        <v>159</v>
      </c>
    </row>
    <row r="59" spans="1:5" x14ac:dyDescent="0.25">
      <c r="A59" s="403"/>
      <c r="B59" s="57" t="s">
        <v>105</v>
      </c>
      <c r="C59" s="57">
        <v>3.4</v>
      </c>
      <c r="D59" s="57">
        <v>0.9</v>
      </c>
      <c r="E59" s="57">
        <f>D59*1.2</f>
        <v>1.08</v>
      </c>
    </row>
    <row r="60" spans="1:5" x14ac:dyDescent="0.25">
      <c r="A60" s="403"/>
      <c r="B60" s="57" t="s">
        <v>102</v>
      </c>
      <c r="C60" s="57">
        <v>3.4</v>
      </c>
      <c r="D60" s="57">
        <v>1.3</v>
      </c>
      <c r="E60" s="57">
        <f t="shared" ref="E60:E62" si="6">D60*1.2</f>
        <v>1.56</v>
      </c>
    </row>
    <row r="61" spans="1:5" x14ac:dyDescent="0.25">
      <c r="A61" s="403"/>
      <c r="B61" s="57" t="s">
        <v>103</v>
      </c>
      <c r="C61" s="57">
        <v>5.8</v>
      </c>
      <c r="D61" s="57">
        <v>1.7</v>
      </c>
      <c r="E61" s="57">
        <f t="shared" si="6"/>
        <v>2.04</v>
      </c>
    </row>
    <row r="62" spans="1:5" x14ac:dyDescent="0.25">
      <c r="A62" s="403"/>
      <c r="B62" s="57" t="s">
        <v>104</v>
      </c>
      <c r="C62" s="57">
        <v>7.2</v>
      </c>
      <c r="D62" s="57">
        <v>3.79</v>
      </c>
      <c r="E62" s="57">
        <f t="shared" si="6"/>
        <v>4.548</v>
      </c>
    </row>
    <row r="68" spans="1:5" x14ac:dyDescent="0.25">
      <c r="A68" s="403" t="s">
        <v>204</v>
      </c>
      <c r="B68" s="57" t="s">
        <v>73</v>
      </c>
      <c r="C68" s="57" t="s">
        <v>157</v>
      </c>
      <c r="D68" s="57" t="s">
        <v>158</v>
      </c>
      <c r="E68" s="57" t="s">
        <v>159</v>
      </c>
    </row>
    <row r="69" spans="1:5" x14ac:dyDescent="0.25">
      <c r="A69" s="403"/>
      <c r="B69" s="57" t="s">
        <v>105</v>
      </c>
      <c r="C69" s="57">
        <v>3.4</v>
      </c>
      <c r="D69" s="57">
        <v>0.7</v>
      </c>
      <c r="E69" s="57">
        <v>1.19</v>
      </c>
    </row>
    <row r="70" spans="1:5" x14ac:dyDescent="0.25">
      <c r="A70" s="403"/>
      <c r="B70" s="57" t="s">
        <v>102</v>
      </c>
      <c r="C70" s="57">
        <v>3.4</v>
      </c>
      <c r="D70" s="57">
        <v>1.08</v>
      </c>
      <c r="E70" s="57">
        <v>1.83</v>
      </c>
    </row>
    <row r="71" spans="1:5" x14ac:dyDescent="0.25">
      <c r="A71" s="403"/>
      <c r="B71" s="57" t="s">
        <v>103</v>
      </c>
      <c r="C71" s="57">
        <v>5.8</v>
      </c>
      <c r="D71" s="57">
        <v>1.05</v>
      </c>
      <c r="E71" s="57">
        <v>1.78</v>
      </c>
    </row>
    <row r="72" spans="1:5" x14ac:dyDescent="0.25">
      <c r="A72" s="403"/>
      <c r="B72" s="57" t="s">
        <v>104</v>
      </c>
      <c r="C72" s="57">
        <v>7.2</v>
      </c>
      <c r="D72" s="57">
        <v>2.12</v>
      </c>
      <c r="E72" s="57">
        <v>3.6</v>
      </c>
    </row>
    <row r="75" spans="1:5" x14ac:dyDescent="0.25">
      <c r="A75" s="403" t="s">
        <v>201</v>
      </c>
      <c r="B75" s="57" t="s">
        <v>73</v>
      </c>
      <c r="C75" s="57" t="s">
        <v>157</v>
      </c>
      <c r="D75" s="57" t="s">
        <v>158</v>
      </c>
      <c r="E75" s="57" t="s">
        <v>159</v>
      </c>
    </row>
    <row r="76" spans="1:5" x14ac:dyDescent="0.25">
      <c r="A76" s="403"/>
      <c r="B76" s="57" t="s">
        <v>105</v>
      </c>
      <c r="C76" s="57">
        <v>3.4</v>
      </c>
      <c r="D76" s="57">
        <v>0.75</v>
      </c>
      <c r="E76" s="57">
        <f>D76*1.7</f>
        <v>1.2749999999999999</v>
      </c>
    </row>
    <row r="77" spans="1:5" x14ac:dyDescent="0.25">
      <c r="A77" s="403"/>
      <c r="B77" s="57" t="s">
        <v>102</v>
      </c>
      <c r="C77" s="57">
        <v>3.4</v>
      </c>
      <c r="D77" s="57">
        <v>1.2</v>
      </c>
      <c r="E77" s="57">
        <f t="shared" ref="E77:E79" si="7">D77*1.7</f>
        <v>2.04</v>
      </c>
    </row>
    <row r="78" spans="1:5" x14ac:dyDescent="0.25">
      <c r="A78" s="403"/>
      <c r="B78" s="57" t="s">
        <v>103</v>
      </c>
      <c r="C78" s="57">
        <v>5.8</v>
      </c>
      <c r="D78" s="57">
        <v>1.42</v>
      </c>
      <c r="E78" s="57">
        <f t="shared" si="7"/>
        <v>2.4139999999999997</v>
      </c>
    </row>
    <row r="79" spans="1:5" x14ac:dyDescent="0.25">
      <c r="A79" s="403"/>
      <c r="B79" s="57" t="s">
        <v>104</v>
      </c>
      <c r="C79" s="57">
        <v>7.2</v>
      </c>
      <c r="D79" s="57">
        <v>2.0499999999999998</v>
      </c>
      <c r="E79" s="57">
        <f t="shared" si="7"/>
        <v>3.4849999999999994</v>
      </c>
    </row>
    <row r="82" spans="1:7" x14ac:dyDescent="0.25">
      <c r="A82" s="403" t="s">
        <v>203</v>
      </c>
      <c r="B82" s="57" t="s">
        <v>73</v>
      </c>
      <c r="C82" s="57" t="s">
        <v>157</v>
      </c>
      <c r="D82" s="57" t="s">
        <v>158</v>
      </c>
      <c r="E82" s="57" t="s">
        <v>159</v>
      </c>
    </row>
    <row r="83" spans="1:7" x14ac:dyDescent="0.25">
      <c r="A83" s="403"/>
      <c r="B83" s="57" t="s">
        <v>105</v>
      </c>
      <c r="C83" s="57">
        <v>3.4</v>
      </c>
      <c r="D83" s="57">
        <v>0.9</v>
      </c>
      <c r="E83" s="57">
        <f>D83*1.2</f>
        <v>1.08</v>
      </c>
    </row>
    <row r="84" spans="1:7" x14ac:dyDescent="0.25">
      <c r="A84" s="403"/>
      <c r="B84" s="57" t="s">
        <v>102</v>
      </c>
      <c r="C84" s="57">
        <v>3.4</v>
      </c>
      <c r="D84" s="57">
        <v>1.3</v>
      </c>
      <c r="E84" s="57">
        <f t="shared" ref="E84:E86" si="8">D84*1.2</f>
        <v>1.56</v>
      </c>
    </row>
    <row r="85" spans="1:7" x14ac:dyDescent="0.25">
      <c r="A85" s="403"/>
      <c r="B85" s="57" t="s">
        <v>103</v>
      </c>
      <c r="C85" s="57">
        <v>5.8</v>
      </c>
      <c r="D85" s="57">
        <v>1.7</v>
      </c>
      <c r="E85" s="57">
        <f t="shared" si="8"/>
        <v>2.04</v>
      </c>
    </row>
    <row r="86" spans="1:7" x14ac:dyDescent="0.25">
      <c r="A86" s="403"/>
      <c r="B86" s="57" t="s">
        <v>104</v>
      </c>
      <c r="C86" s="57">
        <v>7.2</v>
      </c>
      <c r="D86" s="57">
        <v>3.79</v>
      </c>
      <c r="E86" s="57">
        <f t="shared" si="8"/>
        <v>4.548</v>
      </c>
    </row>
    <row r="88" spans="1:7" x14ac:dyDescent="0.25">
      <c r="A88" s="14" t="s">
        <v>341</v>
      </c>
    </row>
    <row r="90" spans="1:7" ht="45" x14ac:dyDescent="0.25">
      <c r="A90" s="513" t="s">
        <v>204</v>
      </c>
      <c r="B90" s="58" t="s">
        <v>73</v>
      </c>
      <c r="C90" s="58" t="s">
        <v>157</v>
      </c>
      <c r="D90" s="58" t="s">
        <v>158</v>
      </c>
      <c r="E90" s="58" t="s">
        <v>159</v>
      </c>
      <c r="F90" s="58" t="s">
        <v>343</v>
      </c>
      <c r="G90" s="58" t="s">
        <v>345</v>
      </c>
    </row>
    <row r="91" spans="1:7" x14ac:dyDescent="0.25">
      <c r="A91" s="513"/>
      <c r="B91" s="58" t="s">
        <v>105</v>
      </c>
      <c r="C91" s="58">
        <v>3.4</v>
      </c>
      <c r="D91" s="58">
        <v>0.7</v>
      </c>
      <c r="E91" s="58">
        <v>1.19</v>
      </c>
      <c r="F91" s="513">
        <v>990</v>
      </c>
      <c r="G91" s="513">
        <f>F91*E91+F91*E92+F91*E93+E94*F91</f>
        <v>8316</v>
      </c>
    </row>
    <row r="92" spans="1:7" x14ac:dyDescent="0.25">
      <c r="A92" s="513"/>
      <c r="B92" s="58" t="s">
        <v>102</v>
      </c>
      <c r="C92" s="58">
        <v>3.4</v>
      </c>
      <c r="D92" s="58">
        <v>1.08</v>
      </c>
      <c r="E92" s="58">
        <v>1.83</v>
      </c>
      <c r="F92" s="513"/>
      <c r="G92" s="513"/>
    </row>
    <row r="93" spans="1:7" x14ac:dyDescent="0.25">
      <c r="A93" s="513"/>
      <c r="B93" s="58" t="s">
        <v>103</v>
      </c>
      <c r="C93" s="58">
        <v>5.8</v>
      </c>
      <c r="D93" s="58">
        <v>1.05</v>
      </c>
      <c r="E93" s="58">
        <v>1.78</v>
      </c>
      <c r="F93" s="513"/>
      <c r="G93" s="513"/>
    </row>
    <row r="94" spans="1:7" x14ac:dyDescent="0.25">
      <c r="A94" s="513"/>
      <c r="B94" s="58" t="s">
        <v>104</v>
      </c>
      <c r="C94" s="58">
        <v>7.2</v>
      </c>
      <c r="D94" s="58">
        <v>2.12</v>
      </c>
      <c r="E94" s="58">
        <v>3.6</v>
      </c>
      <c r="F94" s="513"/>
      <c r="G94" s="513"/>
    </row>
    <row r="95" spans="1:7" x14ac:dyDescent="0.25">
      <c r="A95" s="148"/>
      <c r="B95" s="148"/>
      <c r="C95" s="148"/>
      <c r="D95" s="148"/>
      <c r="E95" s="148"/>
      <c r="F95" s="148"/>
      <c r="G95" s="148"/>
    </row>
    <row r="96" spans="1:7" x14ac:dyDescent="0.25">
      <c r="A96" s="148"/>
      <c r="B96" s="148"/>
      <c r="C96" s="148"/>
      <c r="D96" s="148"/>
      <c r="E96" s="148"/>
      <c r="F96" s="148"/>
      <c r="G96" s="148"/>
    </row>
    <row r="97" spans="1:7" x14ac:dyDescent="0.25">
      <c r="A97" s="148"/>
      <c r="B97" s="148"/>
      <c r="C97" s="148"/>
      <c r="D97" s="148"/>
      <c r="E97" s="148"/>
      <c r="F97" s="148"/>
      <c r="G97" s="148"/>
    </row>
    <row r="98" spans="1:7" x14ac:dyDescent="0.25">
      <c r="A98" s="148"/>
      <c r="B98" s="148"/>
      <c r="C98" s="148"/>
      <c r="D98" s="148"/>
      <c r="E98" s="148"/>
      <c r="F98" s="148"/>
      <c r="G98" s="148"/>
    </row>
    <row r="99" spans="1:7" ht="45" x14ac:dyDescent="0.25">
      <c r="A99" s="513" t="s">
        <v>203</v>
      </c>
      <c r="B99" s="58" t="s">
        <v>73</v>
      </c>
      <c r="C99" s="58" t="s">
        <v>157</v>
      </c>
      <c r="D99" s="58" t="s">
        <v>158</v>
      </c>
      <c r="E99" s="58" t="s">
        <v>159</v>
      </c>
      <c r="F99" s="58" t="s">
        <v>343</v>
      </c>
      <c r="G99" s="58" t="s">
        <v>345</v>
      </c>
    </row>
    <row r="100" spans="1:7" x14ac:dyDescent="0.25">
      <c r="A100" s="513"/>
      <c r="B100" s="58" t="s">
        <v>105</v>
      </c>
      <c r="C100" s="58">
        <v>3.4</v>
      </c>
      <c r="D100" s="58">
        <v>0.9</v>
      </c>
      <c r="E100" s="58">
        <f>D100*1.2</f>
        <v>1.08</v>
      </c>
      <c r="F100" s="513">
        <v>950</v>
      </c>
      <c r="G100" s="513">
        <f>F100*E100+F100*E101+F100*E102+E103*F100</f>
        <v>8766.6</v>
      </c>
    </row>
    <row r="101" spans="1:7" x14ac:dyDescent="0.25">
      <c r="A101" s="513"/>
      <c r="B101" s="58" t="s">
        <v>102</v>
      </c>
      <c r="C101" s="58">
        <v>3.4</v>
      </c>
      <c r="D101" s="58">
        <v>1.3</v>
      </c>
      <c r="E101" s="58">
        <f t="shared" ref="E101:E103" si="9">D101*1.2</f>
        <v>1.56</v>
      </c>
      <c r="F101" s="513"/>
      <c r="G101" s="513"/>
    </row>
    <row r="102" spans="1:7" x14ac:dyDescent="0.25">
      <c r="A102" s="513"/>
      <c r="B102" s="58" t="s">
        <v>103</v>
      </c>
      <c r="C102" s="58">
        <v>5.8</v>
      </c>
      <c r="D102" s="58">
        <v>1.7</v>
      </c>
      <c r="E102" s="58">
        <f t="shared" si="9"/>
        <v>2.04</v>
      </c>
      <c r="F102" s="513"/>
      <c r="G102" s="513"/>
    </row>
    <row r="103" spans="1:7" x14ac:dyDescent="0.25">
      <c r="A103" s="513"/>
      <c r="B103" s="58" t="s">
        <v>104</v>
      </c>
      <c r="C103" s="58">
        <v>7.2</v>
      </c>
      <c r="D103" s="58">
        <v>3.79</v>
      </c>
      <c r="E103" s="58">
        <f t="shared" si="9"/>
        <v>4.548</v>
      </c>
      <c r="F103" s="513"/>
      <c r="G103" s="513"/>
    </row>
    <row r="104" spans="1:7" x14ac:dyDescent="0.25">
      <c r="A104" s="148"/>
      <c r="B104" s="148"/>
      <c r="C104" s="148"/>
      <c r="D104" s="148"/>
      <c r="E104" s="148"/>
      <c r="F104" s="148"/>
      <c r="G104" s="148"/>
    </row>
    <row r="105" spans="1:7" x14ac:dyDescent="0.25">
      <c r="A105" s="148"/>
      <c r="B105" s="148"/>
      <c r="C105" s="148"/>
      <c r="D105" s="148"/>
      <c r="E105" s="148"/>
      <c r="F105" s="148"/>
      <c r="G105" s="148"/>
    </row>
    <row r="106" spans="1:7" x14ac:dyDescent="0.25">
      <c r="A106" s="148"/>
      <c r="B106" s="148"/>
      <c r="C106" s="148"/>
      <c r="D106" s="148"/>
      <c r="E106" s="148"/>
      <c r="F106" s="148"/>
      <c r="G106" s="148"/>
    </row>
    <row r="107" spans="1:7" ht="45" x14ac:dyDescent="0.25">
      <c r="A107" s="513" t="s">
        <v>340</v>
      </c>
      <c r="B107" s="58" t="s">
        <v>73</v>
      </c>
      <c r="C107" s="58" t="s">
        <v>157</v>
      </c>
      <c r="D107" s="58" t="s">
        <v>158</v>
      </c>
      <c r="E107" s="58" t="s">
        <v>159</v>
      </c>
      <c r="F107" s="58" t="s">
        <v>343</v>
      </c>
      <c r="G107" s="58" t="s">
        <v>345</v>
      </c>
    </row>
    <row r="108" spans="1:7" x14ac:dyDescent="0.25">
      <c r="A108" s="513"/>
      <c r="B108" s="58" t="s">
        <v>105</v>
      </c>
      <c r="C108" s="58">
        <v>3.4</v>
      </c>
      <c r="D108" s="58">
        <v>1.4</v>
      </c>
      <c r="E108" s="58">
        <f>D108*1.2</f>
        <v>1.68</v>
      </c>
      <c r="F108" s="513"/>
      <c r="G108" s="513">
        <f>F108*E108+F108*E109+F108*E110+E111*F108</f>
        <v>0</v>
      </c>
    </row>
    <row r="109" spans="1:7" x14ac:dyDescent="0.25">
      <c r="A109" s="513"/>
      <c r="B109" s="58" t="s">
        <v>102</v>
      </c>
      <c r="C109" s="58">
        <v>3.4</v>
      </c>
      <c r="D109" s="58">
        <v>1.9</v>
      </c>
      <c r="E109" s="58">
        <f t="shared" ref="E109:E111" si="10">D109*1.2</f>
        <v>2.2799999999999998</v>
      </c>
      <c r="F109" s="513"/>
      <c r="G109" s="513"/>
    </row>
    <row r="110" spans="1:7" x14ac:dyDescent="0.25">
      <c r="A110" s="513"/>
      <c r="B110" s="58" t="s">
        <v>103</v>
      </c>
      <c r="C110" s="58">
        <v>5.8</v>
      </c>
      <c r="D110" s="58">
        <v>2.1</v>
      </c>
      <c r="E110" s="58">
        <f t="shared" si="10"/>
        <v>2.52</v>
      </c>
      <c r="F110" s="513"/>
      <c r="G110" s="513"/>
    </row>
    <row r="111" spans="1:7" x14ac:dyDescent="0.25">
      <c r="A111" s="513"/>
      <c r="B111" s="58" t="s">
        <v>104</v>
      </c>
      <c r="C111" s="58">
        <v>7.2</v>
      </c>
      <c r="D111" s="58">
        <v>5</v>
      </c>
      <c r="E111" s="58">
        <f t="shared" si="10"/>
        <v>6</v>
      </c>
      <c r="F111" s="513"/>
      <c r="G111" s="513"/>
    </row>
    <row r="112" spans="1:7" x14ac:dyDescent="0.25">
      <c r="A112" s="148"/>
      <c r="B112" s="148"/>
      <c r="C112" s="148"/>
      <c r="D112" s="148"/>
      <c r="E112" s="148"/>
      <c r="F112" s="148"/>
      <c r="G112" s="148"/>
    </row>
    <row r="113" spans="1:7" x14ac:dyDescent="0.25">
      <c r="A113" s="148"/>
      <c r="B113" s="148"/>
      <c r="C113" s="148"/>
      <c r="D113" s="148"/>
      <c r="E113" s="148"/>
      <c r="F113" s="148"/>
      <c r="G113" s="148"/>
    </row>
    <row r="114" spans="1:7" ht="45" x14ac:dyDescent="0.25">
      <c r="A114" s="58" t="s">
        <v>73</v>
      </c>
      <c r="B114" s="58" t="s">
        <v>157</v>
      </c>
      <c r="C114" s="58" t="s">
        <v>158</v>
      </c>
      <c r="D114" s="58" t="s">
        <v>158</v>
      </c>
      <c r="E114" s="58" t="s">
        <v>159</v>
      </c>
      <c r="F114" s="58" t="s">
        <v>343</v>
      </c>
      <c r="G114" s="58" t="s">
        <v>345</v>
      </c>
    </row>
    <row r="115" spans="1:7" x14ac:dyDescent="0.25">
      <c r="A115" s="518" t="s">
        <v>342</v>
      </c>
      <c r="B115" s="58" t="s">
        <v>105</v>
      </c>
      <c r="C115" s="58">
        <v>3.4</v>
      </c>
      <c r="D115" s="58">
        <v>0.9</v>
      </c>
      <c r="E115" s="58">
        <f>D115*1.2</f>
        <v>1.08</v>
      </c>
      <c r="F115" s="513"/>
      <c r="G115" s="513">
        <f>F115*E115+F115*E116+F115*E117+E118*F115</f>
        <v>0</v>
      </c>
    </row>
    <row r="116" spans="1:7" x14ac:dyDescent="0.25">
      <c r="A116" s="518"/>
      <c r="B116" s="58" t="s">
        <v>102</v>
      </c>
      <c r="C116" s="58">
        <v>3.4</v>
      </c>
      <c r="D116" s="58">
        <v>1.25</v>
      </c>
      <c r="E116" s="58">
        <f t="shared" ref="E116:E118" si="11">D116*1.2</f>
        <v>1.5</v>
      </c>
      <c r="F116" s="513"/>
      <c r="G116" s="513"/>
    </row>
    <row r="117" spans="1:7" x14ac:dyDescent="0.25">
      <c r="A117" s="518"/>
      <c r="B117" s="58" t="s">
        <v>103</v>
      </c>
      <c r="C117" s="58">
        <v>5.8</v>
      </c>
      <c r="D117" s="58">
        <v>1.65</v>
      </c>
      <c r="E117" s="58">
        <f t="shared" si="11"/>
        <v>1.9799999999999998</v>
      </c>
      <c r="F117" s="513"/>
      <c r="G117" s="513"/>
    </row>
    <row r="118" spans="1:7" ht="15.75" thickBot="1" x14ac:dyDescent="0.3">
      <c r="A118" s="469"/>
      <c r="B118" s="149" t="s">
        <v>104</v>
      </c>
      <c r="C118" s="149">
        <v>7.2</v>
      </c>
      <c r="D118" s="58">
        <v>3.9</v>
      </c>
      <c r="E118" s="58">
        <f t="shared" si="11"/>
        <v>4.68</v>
      </c>
      <c r="F118" s="513"/>
      <c r="G118" s="513"/>
    </row>
    <row r="119" spans="1:7" x14ac:dyDescent="0.25">
      <c r="A119" s="148"/>
      <c r="B119" s="148"/>
      <c r="C119" s="148"/>
      <c r="D119" s="148"/>
      <c r="E119" s="148"/>
      <c r="F119" s="148"/>
      <c r="G119" s="148"/>
    </row>
    <row r="120" spans="1:7" x14ac:dyDescent="0.25">
      <c r="A120" s="148"/>
      <c r="B120" s="148"/>
      <c r="C120" s="148"/>
      <c r="D120" s="148"/>
      <c r="E120" s="148"/>
      <c r="F120" s="148"/>
      <c r="G120" s="148"/>
    </row>
    <row r="121" spans="1:7" ht="45" x14ac:dyDescent="0.25">
      <c r="A121" s="513" t="s">
        <v>344</v>
      </c>
      <c r="B121" s="58" t="s">
        <v>73</v>
      </c>
      <c r="C121" s="58" t="s">
        <v>157</v>
      </c>
      <c r="D121" s="58" t="s">
        <v>158</v>
      </c>
      <c r="E121" s="58" t="s">
        <v>159</v>
      </c>
      <c r="F121" s="58" t="s">
        <v>343</v>
      </c>
      <c r="G121" s="58" t="s">
        <v>345</v>
      </c>
    </row>
    <row r="122" spans="1:7" x14ac:dyDescent="0.25">
      <c r="A122" s="513"/>
      <c r="B122" s="58" t="s">
        <v>105</v>
      </c>
      <c r="C122" s="58">
        <v>3.4</v>
      </c>
      <c r="D122" s="58">
        <v>0.78</v>
      </c>
      <c r="E122" s="58">
        <f>D122</f>
        <v>0.78</v>
      </c>
      <c r="F122" s="513">
        <v>1240</v>
      </c>
      <c r="G122" s="513">
        <f>F122*E122+F122*E123+F122*E124+E125*F122</f>
        <v>10800.400000000001</v>
      </c>
    </row>
    <row r="123" spans="1:7" x14ac:dyDescent="0.25">
      <c r="A123" s="513"/>
      <c r="B123" s="58" t="s">
        <v>102</v>
      </c>
      <c r="C123" s="58">
        <v>3.4</v>
      </c>
      <c r="D123" s="58">
        <v>1.31</v>
      </c>
      <c r="E123" s="58">
        <f t="shared" ref="E123:E125" si="12">D123</f>
        <v>1.31</v>
      </c>
      <c r="F123" s="513"/>
      <c r="G123" s="513"/>
    </row>
    <row r="124" spans="1:7" x14ac:dyDescent="0.25">
      <c r="A124" s="513"/>
      <c r="B124" s="58" t="s">
        <v>103</v>
      </c>
      <c r="C124" s="58">
        <v>5.8</v>
      </c>
      <c r="D124" s="58">
        <v>3.1</v>
      </c>
      <c r="E124" s="58">
        <f t="shared" si="12"/>
        <v>3.1</v>
      </c>
      <c r="F124" s="513"/>
      <c r="G124" s="513"/>
    </row>
    <row r="125" spans="1:7" x14ac:dyDescent="0.25">
      <c r="A125" s="513"/>
      <c r="B125" s="58" t="s">
        <v>104</v>
      </c>
      <c r="C125" s="58">
        <v>7.2</v>
      </c>
      <c r="D125" s="58">
        <v>3.52</v>
      </c>
      <c r="E125" s="58">
        <f t="shared" si="12"/>
        <v>3.52</v>
      </c>
      <c r="F125" s="513"/>
      <c r="G125" s="513"/>
    </row>
    <row r="133" spans="1:9" x14ac:dyDescent="0.25">
      <c r="A133" s="517" t="s">
        <v>346</v>
      </c>
      <c r="B133" s="517"/>
      <c r="C133" s="517"/>
      <c r="D133" s="517"/>
      <c r="E133" s="517"/>
      <c r="F133" s="517"/>
      <c r="G133" s="517"/>
    </row>
    <row r="134" spans="1:9" ht="45" x14ac:dyDescent="0.25">
      <c r="A134" s="513" t="s">
        <v>203</v>
      </c>
      <c r="B134" s="150" t="s">
        <v>73</v>
      </c>
      <c r="C134" s="150" t="s">
        <v>157</v>
      </c>
      <c r="D134" s="150" t="s">
        <v>158</v>
      </c>
      <c r="E134" s="150" t="s">
        <v>159</v>
      </c>
      <c r="F134" s="150" t="s">
        <v>343</v>
      </c>
      <c r="G134" s="150" t="s">
        <v>345</v>
      </c>
    </row>
    <row r="135" spans="1:9" x14ac:dyDescent="0.25">
      <c r="A135" s="513"/>
      <c r="B135" s="150" t="s">
        <v>103</v>
      </c>
      <c r="C135" s="150">
        <v>5.67</v>
      </c>
      <c r="D135" s="150" t="s">
        <v>348</v>
      </c>
      <c r="E135" s="150">
        <f>1.92+2.08</f>
        <v>4</v>
      </c>
      <c r="F135" s="150">
        <v>600</v>
      </c>
      <c r="G135" s="150">
        <f>F135*E135</f>
        <v>2400</v>
      </c>
    </row>
    <row r="136" spans="1:9" x14ac:dyDescent="0.25">
      <c r="D136" s="14">
        <f>1.6+1.74</f>
        <v>3.34</v>
      </c>
    </row>
    <row r="139" spans="1:9" x14ac:dyDescent="0.25">
      <c r="A139" s="517" t="s">
        <v>346</v>
      </c>
      <c r="B139" s="517"/>
      <c r="C139" s="517"/>
      <c r="D139" s="517"/>
      <c r="E139" s="517"/>
      <c r="F139" s="517"/>
      <c r="G139" s="517"/>
    </row>
    <row r="140" spans="1:9" ht="45" x14ac:dyDescent="0.25">
      <c r="A140" s="513" t="s">
        <v>347</v>
      </c>
      <c r="B140" s="150" t="s">
        <v>73</v>
      </c>
      <c r="C140" s="150" t="s">
        <v>157</v>
      </c>
      <c r="D140" s="150" t="s">
        <v>158</v>
      </c>
      <c r="E140" s="150" t="s">
        <v>159</v>
      </c>
      <c r="F140" s="150" t="s">
        <v>343</v>
      </c>
      <c r="G140" s="150" t="s">
        <v>345</v>
      </c>
    </row>
    <row r="141" spans="1:9" x14ac:dyDescent="0.25">
      <c r="A141" s="513"/>
      <c r="B141" s="150" t="s">
        <v>103</v>
      </c>
      <c r="C141" s="150">
        <v>5.67</v>
      </c>
      <c r="D141" s="151">
        <f>2+0.1</f>
        <v>2.1</v>
      </c>
      <c r="E141" s="150">
        <f>D141*1.052</f>
        <v>2.2092000000000001</v>
      </c>
      <c r="F141" s="150">
        <v>1185</v>
      </c>
      <c r="G141" s="150">
        <f>F141*E141</f>
        <v>2617.902</v>
      </c>
      <c r="I141" s="152">
        <f>2.63/2.5</f>
        <v>1.052</v>
      </c>
    </row>
    <row r="146" spans="1:7" x14ac:dyDescent="0.25">
      <c r="A146" s="517" t="s">
        <v>350</v>
      </c>
      <c r="B146" s="517"/>
      <c r="C146" s="517"/>
      <c r="D146" s="517"/>
      <c r="E146" s="517"/>
      <c r="F146" s="517"/>
      <c r="G146" s="517"/>
    </row>
    <row r="147" spans="1:7" ht="45" x14ac:dyDescent="0.25">
      <c r="A147" s="513" t="s">
        <v>203</v>
      </c>
      <c r="B147" s="150" t="s">
        <v>73</v>
      </c>
      <c r="C147" s="150" t="s">
        <v>157</v>
      </c>
      <c r="D147" s="150" t="s">
        <v>158</v>
      </c>
      <c r="E147" s="150" t="s">
        <v>159</v>
      </c>
      <c r="F147" s="150" t="s">
        <v>343</v>
      </c>
      <c r="G147" s="150" t="s">
        <v>345</v>
      </c>
    </row>
    <row r="148" spans="1:7" x14ac:dyDescent="0.25">
      <c r="A148" s="513"/>
      <c r="B148" s="150" t="s">
        <v>103</v>
      </c>
      <c r="C148" s="150">
        <v>5.67</v>
      </c>
      <c r="D148" s="150" t="s">
        <v>351</v>
      </c>
      <c r="E148" s="150">
        <f>3.84+3.55</f>
        <v>7.39</v>
      </c>
      <c r="F148" s="150">
        <v>600</v>
      </c>
      <c r="G148" s="150">
        <f>F148*E148</f>
        <v>4434</v>
      </c>
    </row>
    <row r="149" spans="1:7" x14ac:dyDescent="0.25">
      <c r="D149" s="14">
        <f>3.2+2.9</f>
        <v>6.1</v>
      </c>
    </row>
    <row r="152" spans="1:7" x14ac:dyDescent="0.25">
      <c r="A152" s="516" t="s">
        <v>352</v>
      </c>
      <c r="B152" s="517"/>
      <c r="C152" s="517"/>
      <c r="D152" s="517"/>
      <c r="E152" s="517"/>
      <c r="F152" s="517"/>
      <c r="G152" s="517"/>
    </row>
    <row r="153" spans="1:7" ht="45" x14ac:dyDescent="0.25">
      <c r="A153" s="513" t="s">
        <v>347</v>
      </c>
      <c r="B153" s="150" t="s">
        <v>73</v>
      </c>
      <c r="C153" s="150" t="s">
        <v>157</v>
      </c>
      <c r="D153" s="150" t="s">
        <v>158</v>
      </c>
      <c r="E153" s="150" t="s">
        <v>159</v>
      </c>
      <c r="F153" s="150" t="s">
        <v>343</v>
      </c>
      <c r="G153" s="150" t="s">
        <v>345</v>
      </c>
    </row>
    <row r="154" spans="1:7" x14ac:dyDescent="0.25">
      <c r="A154" s="513"/>
      <c r="B154" s="150" t="s">
        <v>103</v>
      </c>
      <c r="C154" s="150">
        <v>5.67</v>
      </c>
      <c r="D154" s="150" t="s">
        <v>349</v>
      </c>
      <c r="E154" s="150">
        <f>1.91+0.32</f>
        <v>2.23</v>
      </c>
      <c r="F154" s="150">
        <v>1185</v>
      </c>
      <c r="G154" s="150">
        <f>F154*E154</f>
        <v>2642.55</v>
      </c>
    </row>
    <row r="155" spans="1:7" x14ac:dyDescent="0.25">
      <c r="D155" s="14">
        <f>2.6</f>
        <v>2.6</v>
      </c>
    </row>
    <row r="159" spans="1:7" ht="45" x14ac:dyDescent="0.25">
      <c r="A159" s="513" t="s">
        <v>353</v>
      </c>
      <c r="B159" s="153" t="s">
        <v>73</v>
      </c>
      <c r="C159" s="153" t="s">
        <v>157</v>
      </c>
      <c r="D159" s="153" t="s">
        <v>158</v>
      </c>
      <c r="E159" s="153" t="s">
        <v>159</v>
      </c>
      <c r="F159" s="153" t="s">
        <v>343</v>
      </c>
      <c r="G159" s="153" t="s">
        <v>345</v>
      </c>
    </row>
    <row r="160" spans="1:7" x14ac:dyDescent="0.25">
      <c r="A160" s="513"/>
      <c r="B160" s="153" t="s">
        <v>106</v>
      </c>
      <c r="C160" s="153">
        <v>3.4</v>
      </c>
      <c r="D160" s="153">
        <v>0.56999999999999995</v>
      </c>
      <c r="E160" s="153">
        <v>0.64</v>
      </c>
      <c r="F160" s="153">
        <f>805*1.2</f>
        <v>966</v>
      </c>
      <c r="G160" s="153">
        <f>F160*E160</f>
        <v>618.24</v>
      </c>
    </row>
    <row r="161" spans="1:7" ht="45" x14ac:dyDescent="0.25">
      <c r="A161" s="513" t="s">
        <v>353</v>
      </c>
      <c r="B161" s="153" t="s">
        <v>73</v>
      </c>
      <c r="C161" s="153" t="s">
        <v>157</v>
      </c>
      <c r="D161" s="153" t="s">
        <v>158</v>
      </c>
      <c r="E161" s="153" t="s">
        <v>159</v>
      </c>
      <c r="F161" s="153" t="s">
        <v>343</v>
      </c>
      <c r="G161" s="153" t="s">
        <v>345</v>
      </c>
    </row>
    <row r="162" spans="1:7" x14ac:dyDescent="0.25">
      <c r="A162" s="513"/>
      <c r="B162" s="153" t="s">
        <v>105</v>
      </c>
      <c r="C162" s="153">
        <v>3.4</v>
      </c>
      <c r="D162" s="153">
        <v>0.75</v>
      </c>
      <c r="E162" s="153">
        <v>0.84</v>
      </c>
      <c r="F162" s="153">
        <f>805*1.2</f>
        <v>966</v>
      </c>
      <c r="G162" s="153">
        <f>F162*E162</f>
        <v>811.43999999999994</v>
      </c>
    </row>
    <row r="163" spans="1:7" ht="45" x14ac:dyDescent="0.25">
      <c r="A163" s="513" t="s">
        <v>353</v>
      </c>
      <c r="B163" s="153" t="s">
        <v>73</v>
      </c>
      <c r="C163" s="153" t="s">
        <v>157</v>
      </c>
      <c r="D163" s="153" t="s">
        <v>158</v>
      </c>
      <c r="E163" s="153" t="s">
        <v>159</v>
      </c>
      <c r="F163" s="153" t="s">
        <v>343</v>
      </c>
      <c r="G163" s="153" t="s">
        <v>345</v>
      </c>
    </row>
    <row r="164" spans="1:7" x14ac:dyDescent="0.25">
      <c r="A164" s="513"/>
      <c r="B164" s="153" t="s">
        <v>103</v>
      </c>
      <c r="C164" s="153">
        <v>5.8</v>
      </c>
      <c r="D164" s="153">
        <v>1.33</v>
      </c>
      <c r="E164" s="153">
        <v>1.49</v>
      </c>
      <c r="F164" s="153">
        <f>805*1.2</f>
        <v>966</v>
      </c>
      <c r="G164" s="153">
        <f>F164*E164</f>
        <v>1439.34</v>
      </c>
    </row>
    <row r="165" spans="1:7" ht="45" x14ac:dyDescent="0.25">
      <c r="A165" s="513" t="s">
        <v>353</v>
      </c>
      <c r="B165" s="153" t="s">
        <v>73</v>
      </c>
      <c r="C165" s="153" t="s">
        <v>157</v>
      </c>
      <c r="D165" s="153" t="s">
        <v>158</v>
      </c>
      <c r="E165" s="153" t="s">
        <v>159</v>
      </c>
      <c r="F165" s="153" t="s">
        <v>343</v>
      </c>
      <c r="G165" s="153" t="s">
        <v>345</v>
      </c>
    </row>
    <row r="166" spans="1:7" x14ac:dyDescent="0.25">
      <c r="A166" s="513"/>
      <c r="B166" s="153" t="s">
        <v>104</v>
      </c>
      <c r="C166" s="153">
        <v>5.8</v>
      </c>
      <c r="D166" s="153">
        <v>2.2999999999999998</v>
      </c>
      <c r="E166" s="153">
        <v>2.58</v>
      </c>
      <c r="F166" s="153">
        <f>805*1.2</f>
        <v>966</v>
      </c>
      <c r="G166" s="153">
        <f>F166*E166</f>
        <v>2492.2800000000002</v>
      </c>
    </row>
    <row r="167" spans="1:7" x14ac:dyDescent="0.25">
      <c r="A167" s="154"/>
      <c r="B167" s="154"/>
      <c r="C167" s="154"/>
      <c r="D167" s="154"/>
      <c r="E167" s="154"/>
      <c r="F167" s="154"/>
      <c r="G167" s="154"/>
    </row>
    <row r="168" spans="1:7" x14ac:dyDescent="0.25">
      <c r="A168" s="154"/>
      <c r="B168" s="154"/>
      <c r="C168" s="154"/>
      <c r="D168" s="154"/>
      <c r="E168" s="154"/>
      <c r="F168" s="154"/>
      <c r="G168" s="154"/>
    </row>
    <row r="169" spans="1:7" ht="45" x14ac:dyDescent="0.25">
      <c r="A169" s="513" t="s">
        <v>354</v>
      </c>
      <c r="B169" s="153" t="s">
        <v>73</v>
      </c>
      <c r="C169" s="153" t="s">
        <v>157</v>
      </c>
      <c r="D169" s="153" t="s">
        <v>158</v>
      </c>
      <c r="E169" s="153" t="s">
        <v>159</v>
      </c>
      <c r="F169" s="153" t="s">
        <v>343</v>
      </c>
      <c r="G169" s="153" t="s">
        <v>345</v>
      </c>
    </row>
    <row r="170" spans="1:7" x14ac:dyDescent="0.25">
      <c r="A170" s="513"/>
      <c r="B170" s="153" t="s">
        <v>106</v>
      </c>
      <c r="C170" s="153">
        <v>3.4</v>
      </c>
      <c r="D170" s="153">
        <v>0.75</v>
      </c>
      <c r="E170" s="153">
        <v>0.9</v>
      </c>
      <c r="F170" s="153">
        <v>670</v>
      </c>
      <c r="G170" s="153">
        <f>F170*E170</f>
        <v>603</v>
      </c>
    </row>
    <row r="171" spans="1:7" ht="45" x14ac:dyDescent="0.25">
      <c r="A171" s="513" t="s">
        <v>354</v>
      </c>
      <c r="B171" s="153" t="s">
        <v>73</v>
      </c>
      <c r="C171" s="153" t="s">
        <v>157</v>
      </c>
      <c r="D171" s="153" t="s">
        <v>158</v>
      </c>
      <c r="E171" s="153" t="s">
        <v>159</v>
      </c>
      <c r="F171" s="153" t="s">
        <v>343</v>
      </c>
      <c r="G171" s="153" t="s">
        <v>345</v>
      </c>
    </row>
    <row r="172" spans="1:7" x14ac:dyDescent="0.25">
      <c r="A172" s="513"/>
      <c r="B172" s="153" t="s">
        <v>105</v>
      </c>
      <c r="C172" s="153">
        <v>3.4</v>
      </c>
      <c r="D172" s="153">
        <v>0.9</v>
      </c>
      <c r="E172" s="153">
        <v>1.08</v>
      </c>
      <c r="F172" s="153">
        <v>670</v>
      </c>
      <c r="G172" s="153">
        <f>F172*E172</f>
        <v>723.6</v>
      </c>
    </row>
    <row r="173" spans="1:7" ht="45" x14ac:dyDescent="0.25">
      <c r="A173" s="513" t="s">
        <v>354</v>
      </c>
      <c r="B173" s="153" t="s">
        <v>73</v>
      </c>
      <c r="C173" s="153" t="s">
        <v>157</v>
      </c>
      <c r="D173" s="153" t="s">
        <v>158</v>
      </c>
      <c r="E173" s="153" t="s">
        <v>159</v>
      </c>
      <c r="F173" s="153" t="s">
        <v>343</v>
      </c>
      <c r="G173" s="153" t="s">
        <v>345</v>
      </c>
    </row>
    <row r="174" spans="1:7" x14ac:dyDescent="0.25">
      <c r="A174" s="513"/>
      <c r="B174" s="153" t="s">
        <v>103</v>
      </c>
      <c r="C174" s="153">
        <v>5.8</v>
      </c>
      <c r="D174" s="153">
        <v>1.7</v>
      </c>
      <c r="E174" s="153">
        <v>2.04</v>
      </c>
      <c r="F174" s="153">
        <v>670</v>
      </c>
      <c r="G174" s="153">
        <f>F174*E174</f>
        <v>1366.8</v>
      </c>
    </row>
    <row r="175" spans="1:7" ht="45" x14ac:dyDescent="0.25">
      <c r="A175" s="513" t="s">
        <v>354</v>
      </c>
      <c r="B175" s="153" t="s">
        <v>73</v>
      </c>
      <c r="C175" s="153" t="s">
        <v>157</v>
      </c>
      <c r="D175" s="153" t="s">
        <v>158</v>
      </c>
      <c r="E175" s="153" t="s">
        <v>159</v>
      </c>
      <c r="F175" s="153" t="s">
        <v>343</v>
      </c>
      <c r="G175" s="153" t="s">
        <v>345</v>
      </c>
    </row>
    <row r="176" spans="1:7" x14ac:dyDescent="0.25">
      <c r="A176" s="513"/>
      <c r="B176" s="153" t="s">
        <v>104</v>
      </c>
      <c r="C176" s="153">
        <v>5.8</v>
      </c>
      <c r="D176" s="153">
        <v>3.79</v>
      </c>
      <c r="E176" s="153">
        <v>4.548</v>
      </c>
      <c r="F176" s="153">
        <v>670</v>
      </c>
      <c r="G176" s="153">
        <f>F176*E176</f>
        <v>3047.16</v>
      </c>
    </row>
    <row r="181" spans="1:9" ht="15" customHeight="1" x14ac:dyDescent="0.25">
      <c r="A181" s="514" t="s">
        <v>362</v>
      </c>
      <c r="B181" s="158" t="s">
        <v>73</v>
      </c>
      <c r="C181" s="158" t="s">
        <v>157</v>
      </c>
      <c r="D181" s="158" t="s">
        <v>158</v>
      </c>
      <c r="E181" s="158" t="s">
        <v>159</v>
      </c>
    </row>
    <row r="182" spans="1:9" x14ac:dyDescent="0.25">
      <c r="A182" s="515"/>
      <c r="B182" s="158" t="s">
        <v>104</v>
      </c>
      <c r="C182" s="158">
        <v>7.2</v>
      </c>
      <c r="D182" s="158">
        <v>6.96</v>
      </c>
      <c r="E182" s="158">
        <f>D182*1</f>
        <v>6.96</v>
      </c>
    </row>
    <row r="183" spans="1:9" x14ac:dyDescent="0.25">
      <c r="A183" s="515"/>
      <c r="B183" s="158" t="s">
        <v>103</v>
      </c>
      <c r="C183" s="158">
        <v>5.5</v>
      </c>
      <c r="D183" s="158">
        <v>6.12</v>
      </c>
      <c r="E183" s="158">
        <f>D183*1</f>
        <v>6.12</v>
      </c>
    </row>
    <row r="184" spans="1:9" x14ac:dyDescent="0.25">
      <c r="A184" s="515"/>
      <c r="B184" s="158" t="s">
        <v>102</v>
      </c>
      <c r="C184" s="158">
        <v>5.3</v>
      </c>
      <c r="D184" s="158">
        <v>4.42</v>
      </c>
      <c r="E184" s="158">
        <f>D184*1</f>
        <v>4.42</v>
      </c>
    </row>
    <row r="185" spans="1:9" x14ac:dyDescent="0.25">
      <c r="A185" s="515"/>
      <c r="B185" s="160" t="s">
        <v>103</v>
      </c>
      <c r="C185" s="160">
        <v>5.8</v>
      </c>
      <c r="D185" s="160">
        <v>4.53</v>
      </c>
      <c r="E185" s="160">
        <f>D185</f>
        <v>4.53</v>
      </c>
      <c r="F185" s="14">
        <v>1032</v>
      </c>
      <c r="G185" s="14">
        <f>F185*E185</f>
        <v>4674.96</v>
      </c>
      <c r="H185" s="14">
        <f>G192-G185</f>
        <v>519.83999999999924</v>
      </c>
    </row>
    <row r="188" spans="1:9" x14ac:dyDescent="0.25">
      <c r="A188" s="514" t="s">
        <v>203</v>
      </c>
      <c r="B188" s="158" t="s">
        <v>73</v>
      </c>
      <c r="C188" s="158" t="s">
        <v>157</v>
      </c>
      <c r="D188" s="158" t="s">
        <v>158</v>
      </c>
      <c r="E188" s="158" t="s">
        <v>159</v>
      </c>
    </row>
    <row r="189" spans="1:9" x14ac:dyDescent="0.25">
      <c r="A189" s="515"/>
      <c r="B189" s="158" t="s">
        <v>104</v>
      </c>
      <c r="C189" s="158">
        <v>7.2</v>
      </c>
      <c r="D189" s="158">
        <v>6.52</v>
      </c>
      <c r="E189" s="158">
        <f>D189*1.2</f>
        <v>7.823999999999999</v>
      </c>
    </row>
    <row r="190" spans="1:9" x14ac:dyDescent="0.25">
      <c r="A190" s="515"/>
      <c r="B190" s="158" t="s">
        <v>103</v>
      </c>
      <c r="C190" s="158">
        <v>5.5</v>
      </c>
      <c r="D190" s="158">
        <f>3.2+3.03</f>
        <v>6.23</v>
      </c>
      <c r="E190" s="158">
        <f>D190*1.2</f>
        <v>7.476</v>
      </c>
    </row>
    <row r="191" spans="1:9" x14ac:dyDescent="0.25">
      <c r="A191" s="515"/>
      <c r="B191" s="158" t="s">
        <v>102</v>
      </c>
      <c r="C191" s="158">
        <v>5.3</v>
      </c>
      <c r="D191" s="158">
        <v>4.4000000000000004</v>
      </c>
      <c r="E191" s="158">
        <f>D191*1.2</f>
        <v>5.28</v>
      </c>
    </row>
    <row r="192" spans="1:9" x14ac:dyDescent="0.25">
      <c r="A192" s="515"/>
      <c r="B192" s="160" t="s">
        <v>103</v>
      </c>
      <c r="C192" s="160">
        <v>5.8</v>
      </c>
      <c r="D192" s="160">
        <v>6</v>
      </c>
      <c r="E192" s="160">
        <f>6*1.2</f>
        <v>7.1999999999999993</v>
      </c>
      <c r="F192" s="14">
        <f>555*1.3</f>
        <v>721.5</v>
      </c>
      <c r="G192" s="14">
        <f>F192*E192</f>
        <v>5194.7999999999993</v>
      </c>
      <c r="I192" s="14">
        <f>G192*0.1</f>
        <v>519.4799999999999</v>
      </c>
    </row>
    <row r="194" spans="1:7" x14ac:dyDescent="0.25">
      <c r="B194" s="160" t="s">
        <v>103</v>
      </c>
      <c r="C194" s="160">
        <v>5.8</v>
      </c>
      <c r="D194" s="160">
        <v>4.43</v>
      </c>
      <c r="E194" s="160">
        <v>8.41</v>
      </c>
      <c r="F194" s="14">
        <v>550</v>
      </c>
      <c r="G194" s="14">
        <f>F194*E194</f>
        <v>4625.5</v>
      </c>
    </row>
    <row r="196" spans="1:7" x14ac:dyDescent="0.25">
      <c r="F196" s="14">
        <f>484*1.13</f>
        <v>546.91999999999996</v>
      </c>
    </row>
    <row r="200" spans="1:7" ht="45" x14ac:dyDescent="0.25">
      <c r="A200" s="513" t="s">
        <v>353</v>
      </c>
      <c r="B200" s="163" t="s">
        <v>73</v>
      </c>
      <c r="C200" s="163" t="s">
        <v>157</v>
      </c>
      <c r="D200" s="163" t="s">
        <v>158</v>
      </c>
      <c r="E200" s="163" t="s">
        <v>159</v>
      </c>
      <c r="F200" s="163" t="s">
        <v>343</v>
      </c>
      <c r="G200" s="163" t="s">
        <v>345</v>
      </c>
    </row>
    <row r="201" spans="1:7" x14ac:dyDescent="0.25">
      <c r="A201" s="513"/>
      <c r="B201" s="163" t="s">
        <v>106</v>
      </c>
      <c r="C201" s="163">
        <v>3.4</v>
      </c>
      <c r="D201" s="163">
        <v>0.56999999999999995</v>
      </c>
      <c r="E201" s="163">
        <v>0.64</v>
      </c>
      <c r="F201" s="163">
        <f>805*1.2</f>
        <v>966</v>
      </c>
      <c r="G201" s="163">
        <f>F201*E201</f>
        <v>618.24</v>
      </c>
    </row>
    <row r="202" spans="1:7" ht="45" x14ac:dyDescent="0.25">
      <c r="A202" s="513" t="s">
        <v>353</v>
      </c>
      <c r="B202" s="163" t="s">
        <v>73</v>
      </c>
      <c r="C202" s="163" t="s">
        <v>157</v>
      </c>
      <c r="D202" s="163" t="s">
        <v>158</v>
      </c>
      <c r="E202" s="163" t="s">
        <v>159</v>
      </c>
      <c r="F202" s="163" t="s">
        <v>343</v>
      </c>
      <c r="G202" s="163" t="s">
        <v>345</v>
      </c>
    </row>
    <row r="203" spans="1:7" x14ac:dyDescent="0.25">
      <c r="A203" s="513"/>
      <c r="B203" s="163" t="s">
        <v>105</v>
      </c>
      <c r="C203" s="163">
        <v>3.4</v>
      </c>
      <c r="D203" s="163">
        <v>0.75</v>
      </c>
      <c r="E203" s="163">
        <v>0.84</v>
      </c>
      <c r="F203" s="163">
        <f>805*1.2</f>
        <v>966</v>
      </c>
      <c r="G203" s="163">
        <f>F203*E203</f>
        <v>811.43999999999994</v>
      </c>
    </row>
    <row r="204" spans="1:7" ht="45" x14ac:dyDescent="0.25">
      <c r="A204" s="513" t="s">
        <v>353</v>
      </c>
      <c r="B204" s="163" t="s">
        <v>73</v>
      </c>
      <c r="C204" s="163" t="s">
        <v>157</v>
      </c>
      <c r="D204" s="163" t="s">
        <v>158</v>
      </c>
      <c r="E204" s="163" t="s">
        <v>159</v>
      </c>
      <c r="F204" s="163" t="s">
        <v>343</v>
      </c>
      <c r="G204" s="163" t="s">
        <v>345</v>
      </c>
    </row>
    <row r="205" spans="1:7" x14ac:dyDescent="0.25">
      <c r="A205" s="513"/>
      <c r="B205" s="163" t="s">
        <v>103</v>
      </c>
      <c r="C205" s="163">
        <v>5.8</v>
      </c>
      <c r="D205" s="163">
        <v>1.33</v>
      </c>
      <c r="E205" s="163">
        <v>1.49</v>
      </c>
      <c r="F205" s="163">
        <f>805*1.2</f>
        <v>966</v>
      </c>
      <c r="G205" s="163">
        <f>F205*E205</f>
        <v>1439.34</v>
      </c>
    </row>
    <row r="206" spans="1:7" ht="45" x14ac:dyDescent="0.25">
      <c r="A206" s="513" t="s">
        <v>353</v>
      </c>
      <c r="B206" s="163" t="s">
        <v>73</v>
      </c>
      <c r="C206" s="163" t="s">
        <v>157</v>
      </c>
      <c r="D206" s="163" t="s">
        <v>158</v>
      </c>
      <c r="E206" s="163" t="s">
        <v>159</v>
      </c>
      <c r="F206" s="163" t="s">
        <v>343</v>
      </c>
      <c r="G206" s="163" t="s">
        <v>345</v>
      </c>
    </row>
    <row r="207" spans="1:7" x14ac:dyDescent="0.25">
      <c r="A207" s="513"/>
      <c r="B207" s="163" t="s">
        <v>104</v>
      </c>
      <c r="C207" s="163">
        <v>5.8</v>
      </c>
      <c r="D207" s="163">
        <v>2.2999999999999998</v>
      </c>
      <c r="E207" s="163">
        <v>2.58</v>
      </c>
      <c r="F207" s="163">
        <f>805*1.2</f>
        <v>966</v>
      </c>
      <c r="G207" s="163">
        <f>F207*E207</f>
        <v>2492.2800000000002</v>
      </c>
    </row>
    <row r="208" spans="1:7" ht="45" x14ac:dyDescent="0.25">
      <c r="A208" s="513" t="s">
        <v>353</v>
      </c>
      <c r="B208" s="163" t="s">
        <v>73</v>
      </c>
      <c r="C208" s="163" t="s">
        <v>157</v>
      </c>
      <c r="D208" s="163" t="s">
        <v>158</v>
      </c>
      <c r="E208" s="163" t="s">
        <v>159</v>
      </c>
      <c r="F208" s="163" t="s">
        <v>343</v>
      </c>
      <c r="G208" s="163" t="s">
        <v>345</v>
      </c>
    </row>
    <row r="209" spans="1:9" x14ac:dyDescent="0.25">
      <c r="A209" s="513"/>
      <c r="B209" s="163" t="s">
        <v>102</v>
      </c>
      <c r="C209" s="163">
        <v>3.4</v>
      </c>
      <c r="D209" s="163">
        <v>1.1000000000000001</v>
      </c>
      <c r="E209" s="163">
        <v>1.23</v>
      </c>
      <c r="F209" s="163">
        <f>805*1.2</f>
        <v>966</v>
      </c>
      <c r="G209" s="163">
        <f>F209*E209</f>
        <v>1188.18</v>
      </c>
    </row>
    <row r="210" spans="1:9" x14ac:dyDescent="0.25">
      <c r="A210" s="162"/>
      <c r="B210" s="162"/>
      <c r="C210" s="162"/>
      <c r="D210" s="162"/>
      <c r="E210" s="162"/>
      <c r="F210" s="162"/>
      <c r="G210" s="162"/>
    </row>
    <row r="211" spans="1:9" x14ac:dyDescent="0.25">
      <c r="A211" s="154"/>
      <c r="B211" s="154"/>
      <c r="C211" s="154"/>
      <c r="D211" s="154"/>
      <c r="E211" s="154"/>
      <c r="F211" s="154"/>
      <c r="G211" s="154"/>
    </row>
    <row r="212" spans="1:9" x14ac:dyDescent="0.25">
      <c r="A212" s="154"/>
      <c r="B212" s="154"/>
      <c r="C212" s="154"/>
      <c r="D212" s="154"/>
      <c r="E212" s="154"/>
      <c r="F212" s="154"/>
      <c r="G212" s="154"/>
    </row>
    <row r="213" spans="1:9" ht="45" x14ac:dyDescent="0.25">
      <c r="A213" s="513" t="s">
        <v>354</v>
      </c>
      <c r="B213" s="163" t="s">
        <v>73</v>
      </c>
      <c r="C213" s="163" t="s">
        <v>157</v>
      </c>
      <c r="D213" s="163" t="s">
        <v>158</v>
      </c>
      <c r="E213" s="163" t="s">
        <v>159</v>
      </c>
      <c r="F213" s="163" t="s">
        <v>343</v>
      </c>
      <c r="G213" s="163" t="s">
        <v>345</v>
      </c>
    </row>
    <row r="214" spans="1:9" x14ac:dyDescent="0.25">
      <c r="A214" s="513"/>
      <c r="B214" s="163" t="s">
        <v>106</v>
      </c>
      <c r="C214" s="163">
        <v>3.4</v>
      </c>
      <c r="D214" s="163">
        <v>0.75</v>
      </c>
      <c r="E214" s="163">
        <v>0.9</v>
      </c>
      <c r="F214" s="163">
        <v>670</v>
      </c>
      <c r="G214" s="163">
        <f>F214*E214</f>
        <v>603</v>
      </c>
    </row>
    <row r="215" spans="1:9" ht="45" x14ac:dyDescent="0.25">
      <c r="A215" s="513" t="s">
        <v>354</v>
      </c>
      <c r="B215" s="163" t="s">
        <v>73</v>
      </c>
      <c r="C215" s="163" t="s">
        <v>157</v>
      </c>
      <c r="D215" s="163" t="s">
        <v>158</v>
      </c>
      <c r="E215" s="163" t="s">
        <v>159</v>
      </c>
      <c r="F215" s="163" t="s">
        <v>343</v>
      </c>
      <c r="G215" s="163" t="s">
        <v>345</v>
      </c>
    </row>
    <row r="216" spans="1:9" x14ac:dyDescent="0.25">
      <c r="A216" s="513"/>
      <c r="B216" s="163" t="s">
        <v>105</v>
      </c>
      <c r="C216" s="163">
        <v>3.4</v>
      </c>
      <c r="D216" s="163">
        <v>0.9</v>
      </c>
      <c r="E216" s="163">
        <v>1.08</v>
      </c>
      <c r="F216" s="163">
        <v>670</v>
      </c>
      <c r="G216" s="163">
        <f>F216*E216</f>
        <v>723.6</v>
      </c>
    </row>
    <row r="217" spans="1:9" ht="45" x14ac:dyDescent="0.25">
      <c r="A217" s="513" t="s">
        <v>354</v>
      </c>
      <c r="B217" s="163" t="s">
        <v>73</v>
      </c>
      <c r="C217" s="163" t="s">
        <v>157</v>
      </c>
      <c r="D217" s="163" t="s">
        <v>158</v>
      </c>
      <c r="E217" s="163" t="s">
        <v>159</v>
      </c>
      <c r="F217" s="163" t="s">
        <v>343</v>
      </c>
      <c r="G217" s="163" t="s">
        <v>345</v>
      </c>
    </row>
    <row r="218" spans="1:9" x14ac:dyDescent="0.25">
      <c r="A218" s="513"/>
      <c r="B218" s="163" t="s">
        <v>103</v>
      </c>
      <c r="C218" s="163">
        <v>5.8</v>
      </c>
      <c r="D218" s="163">
        <v>1.7</v>
      </c>
      <c r="E218" s="163">
        <v>2.04</v>
      </c>
      <c r="F218" s="163">
        <v>670</v>
      </c>
      <c r="G218" s="163">
        <f>F218*E218</f>
        <v>1366.8</v>
      </c>
    </row>
    <row r="219" spans="1:9" ht="45" x14ac:dyDescent="0.25">
      <c r="A219" s="513" t="s">
        <v>354</v>
      </c>
      <c r="B219" s="163" t="s">
        <v>73</v>
      </c>
      <c r="C219" s="163" t="s">
        <v>157</v>
      </c>
      <c r="D219" s="163" t="s">
        <v>158</v>
      </c>
      <c r="E219" s="163" t="s">
        <v>159</v>
      </c>
      <c r="F219" s="163" t="s">
        <v>343</v>
      </c>
      <c r="G219" s="163" t="s">
        <v>345</v>
      </c>
    </row>
    <row r="220" spans="1:9" x14ac:dyDescent="0.25">
      <c r="A220" s="513"/>
      <c r="B220" s="163" t="s">
        <v>104</v>
      </c>
      <c r="C220" s="163">
        <v>5.8</v>
      </c>
      <c r="D220" s="163">
        <v>3.79</v>
      </c>
      <c r="E220" s="163">
        <v>4.548</v>
      </c>
      <c r="F220" s="163">
        <v>670</v>
      </c>
      <c r="G220" s="163">
        <f>F220*E220</f>
        <v>3047.16</v>
      </c>
    </row>
    <row r="221" spans="1:9" ht="45" x14ac:dyDescent="0.25">
      <c r="A221" s="513" t="s">
        <v>354</v>
      </c>
      <c r="B221" s="163" t="s">
        <v>73</v>
      </c>
      <c r="C221" s="163" t="s">
        <v>157</v>
      </c>
      <c r="D221" s="163" t="s">
        <v>158</v>
      </c>
      <c r="E221" s="163" t="s">
        <v>159</v>
      </c>
      <c r="F221" s="163" t="s">
        <v>343</v>
      </c>
      <c r="G221" s="163" t="s">
        <v>345</v>
      </c>
    </row>
    <row r="222" spans="1:9" x14ac:dyDescent="0.25">
      <c r="A222" s="513"/>
      <c r="B222" s="163" t="s">
        <v>102</v>
      </c>
      <c r="C222" s="163">
        <v>3.4</v>
      </c>
      <c r="D222" s="163">
        <v>1.3</v>
      </c>
      <c r="E222" s="163">
        <f>D222*1.2</f>
        <v>1.56</v>
      </c>
      <c r="F222" s="163">
        <v>670</v>
      </c>
      <c r="G222" s="163">
        <f>F222*E222</f>
        <v>1045.2</v>
      </c>
    </row>
    <row r="223" spans="1:9" x14ac:dyDescent="0.25">
      <c r="A223" s="154"/>
      <c r="B223" s="154"/>
      <c r="C223" s="154"/>
      <c r="D223" s="154"/>
      <c r="E223" s="154"/>
      <c r="F223" s="154"/>
      <c r="G223" s="154"/>
    </row>
    <row r="224" spans="1:9" ht="45" x14ac:dyDescent="0.25">
      <c r="A224" s="513" t="s">
        <v>161</v>
      </c>
      <c r="B224" s="163" t="s">
        <v>73</v>
      </c>
      <c r="C224" s="163" t="s">
        <v>157</v>
      </c>
      <c r="D224" s="163" t="s">
        <v>158</v>
      </c>
      <c r="E224" s="163" t="s">
        <v>159</v>
      </c>
      <c r="F224" s="163" t="s">
        <v>343</v>
      </c>
      <c r="G224" s="163" t="s">
        <v>345</v>
      </c>
      <c r="H224" s="161" t="s">
        <v>354</v>
      </c>
      <c r="I224" s="161" t="s">
        <v>353</v>
      </c>
    </row>
    <row r="225" spans="1:9" x14ac:dyDescent="0.25">
      <c r="A225" s="513"/>
      <c r="B225" s="163" t="s">
        <v>106</v>
      </c>
      <c r="C225" s="163">
        <v>3.4</v>
      </c>
      <c r="D225" s="163">
        <v>0.51</v>
      </c>
      <c r="E225" s="163">
        <f>D225</f>
        <v>0.51</v>
      </c>
      <c r="F225" s="163">
        <v>1170</v>
      </c>
      <c r="G225" s="164">
        <f>F225*E225</f>
        <v>596.70000000000005</v>
      </c>
      <c r="H225" s="161">
        <f>G214</f>
        <v>603</v>
      </c>
      <c r="I225" s="161">
        <f>G201</f>
        <v>618.24</v>
      </c>
    </row>
    <row r="226" spans="1:9" ht="45" x14ac:dyDescent="0.25">
      <c r="A226" s="513" t="s">
        <v>161</v>
      </c>
      <c r="B226" s="163" t="s">
        <v>73</v>
      </c>
      <c r="C226" s="163" t="s">
        <v>157</v>
      </c>
      <c r="D226" s="163" t="s">
        <v>158</v>
      </c>
      <c r="E226" s="163" t="s">
        <v>159</v>
      </c>
      <c r="F226" s="163" t="s">
        <v>343</v>
      </c>
      <c r="G226" s="163" t="s">
        <v>345</v>
      </c>
      <c r="H226" s="161"/>
      <c r="I226" s="161"/>
    </row>
    <row r="227" spans="1:9" x14ac:dyDescent="0.25">
      <c r="A227" s="513"/>
      <c r="B227" s="163" t="s">
        <v>105</v>
      </c>
      <c r="C227" s="163">
        <v>3.4</v>
      </c>
      <c r="D227" s="163">
        <v>0.78</v>
      </c>
      <c r="E227" s="163">
        <f>D227</f>
        <v>0.78</v>
      </c>
      <c r="F227" s="163">
        <v>1170</v>
      </c>
      <c r="G227" s="163">
        <f>F227*E227</f>
        <v>912.6</v>
      </c>
      <c r="H227" s="165">
        <f>G216</f>
        <v>723.6</v>
      </c>
      <c r="I227" s="161">
        <f>G203</f>
        <v>811.43999999999994</v>
      </c>
    </row>
    <row r="228" spans="1:9" ht="45" x14ac:dyDescent="0.25">
      <c r="A228" s="513" t="s">
        <v>161</v>
      </c>
      <c r="B228" s="163" t="s">
        <v>73</v>
      </c>
      <c r="C228" s="163" t="s">
        <v>157</v>
      </c>
      <c r="D228" s="163" t="s">
        <v>158</v>
      </c>
      <c r="E228" s="163" t="s">
        <v>159</v>
      </c>
      <c r="F228" s="163" t="s">
        <v>343</v>
      </c>
      <c r="G228" s="163" t="s">
        <v>345</v>
      </c>
      <c r="H228" s="161"/>
      <c r="I228" s="161"/>
    </row>
    <row r="229" spans="1:9" x14ac:dyDescent="0.25">
      <c r="A229" s="513"/>
      <c r="B229" s="163" t="s">
        <v>103</v>
      </c>
      <c r="C229" s="163">
        <v>5.8</v>
      </c>
      <c r="D229" s="163">
        <v>3.1</v>
      </c>
      <c r="E229" s="163">
        <f>D229</f>
        <v>3.1</v>
      </c>
      <c r="F229" s="163">
        <v>1170</v>
      </c>
      <c r="G229" s="163">
        <f>F229*E229</f>
        <v>3627</v>
      </c>
      <c r="H229" s="165">
        <f>G218</f>
        <v>1366.8</v>
      </c>
      <c r="I229" s="161">
        <f>G205</f>
        <v>1439.34</v>
      </c>
    </row>
    <row r="230" spans="1:9" ht="45" x14ac:dyDescent="0.25">
      <c r="A230" s="513" t="s">
        <v>161</v>
      </c>
      <c r="B230" s="163" t="s">
        <v>73</v>
      </c>
      <c r="C230" s="163" t="s">
        <v>157</v>
      </c>
      <c r="D230" s="163" t="s">
        <v>158</v>
      </c>
      <c r="E230" s="163" t="s">
        <v>159</v>
      </c>
      <c r="F230" s="163" t="s">
        <v>343</v>
      </c>
      <c r="G230" s="163" t="s">
        <v>345</v>
      </c>
      <c r="H230" s="161"/>
      <c r="I230" s="161"/>
    </row>
    <row r="231" spans="1:9" x14ac:dyDescent="0.25">
      <c r="A231" s="513"/>
      <c r="B231" s="163" t="s">
        <v>104</v>
      </c>
      <c r="C231" s="163">
        <v>5.8</v>
      </c>
      <c r="D231" s="163">
        <v>3.5</v>
      </c>
      <c r="E231" s="163">
        <f>D231</f>
        <v>3.5</v>
      </c>
      <c r="F231" s="163">
        <v>1170</v>
      </c>
      <c r="G231" s="163">
        <f>F231*E231</f>
        <v>4095</v>
      </c>
      <c r="H231" s="161">
        <f>G220</f>
        <v>3047.16</v>
      </c>
      <c r="I231" s="165">
        <f>G207</f>
        <v>2492.2800000000002</v>
      </c>
    </row>
    <row r="232" spans="1:9" ht="45" x14ac:dyDescent="0.25">
      <c r="A232" s="513" t="s">
        <v>161</v>
      </c>
      <c r="B232" s="163" t="s">
        <v>73</v>
      </c>
      <c r="C232" s="163" t="s">
        <v>157</v>
      </c>
      <c r="D232" s="163" t="s">
        <v>158</v>
      </c>
      <c r="E232" s="163" t="s">
        <v>159</v>
      </c>
      <c r="F232" s="163" t="s">
        <v>343</v>
      </c>
      <c r="G232" s="163" t="s">
        <v>345</v>
      </c>
      <c r="H232" s="161"/>
      <c r="I232" s="161"/>
    </row>
    <row r="233" spans="1:9" x14ac:dyDescent="0.25">
      <c r="A233" s="513"/>
      <c r="B233" s="163" t="s">
        <v>102</v>
      </c>
      <c r="C233" s="163">
        <v>3.4</v>
      </c>
      <c r="D233" s="163">
        <v>1.31</v>
      </c>
      <c r="E233" s="163">
        <f>D233</f>
        <v>1.31</v>
      </c>
      <c r="F233" s="163">
        <v>1170</v>
      </c>
      <c r="G233" s="163">
        <f>F233*E233</f>
        <v>1532.7</v>
      </c>
      <c r="H233" s="165">
        <f>G222</f>
        <v>1045.2</v>
      </c>
      <c r="I233" s="161">
        <f>G209</f>
        <v>1188.18</v>
      </c>
    </row>
    <row r="241" spans="6:6" x14ac:dyDescent="0.25">
      <c r="F241" s="14">
        <f>490*1.2</f>
        <v>588</v>
      </c>
    </row>
  </sheetData>
  <mergeCells count="59">
    <mergeCell ref="A115:A118"/>
    <mergeCell ref="F91:F94"/>
    <mergeCell ref="A1:A4"/>
    <mergeCell ref="A7:A10"/>
    <mergeCell ref="A36:A40"/>
    <mergeCell ref="A43:A47"/>
    <mergeCell ref="A52:A56"/>
    <mergeCell ref="A68:A72"/>
    <mergeCell ref="A75:A79"/>
    <mergeCell ref="A58:A62"/>
    <mergeCell ref="A82:A86"/>
    <mergeCell ref="A13:C13"/>
    <mergeCell ref="A20:C20"/>
    <mergeCell ref="A134:A135"/>
    <mergeCell ref="A133:G133"/>
    <mergeCell ref="A139:G139"/>
    <mergeCell ref="G91:G94"/>
    <mergeCell ref="G100:G103"/>
    <mergeCell ref="G108:G111"/>
    <mergeCell ref="G115:G118"/>
    <mergeCell ref="G122:G125"/>
    <mergeCell ref="A121:A125"/>
    <mergeCell ref="F122:F125"/>
    <mergeCell ref="F115:F118"/>
    <mergeCell ref="F108:F111"/>
    <mergeCell ref="F100:F103"/>
    <mergeCell ref="A90:A94"/>
    <mergeCell ref="A99:A103"/>
    <mergeCell ref="A107:A111"/>
    <mergeCell ref="A152:G152"/>
    <mergeCell ref="A153:A154"/>
    <mergeCell ref="A140:A141"/>
    <mergeCell ref="A146:G146"/>
    <mergeCell ref="A147:A148"/>
    <mergeCell ref="A159:A160"/>
    <mergeCell ref="A161:A162"/>
    <mergeCell ref="A163:A164"/>
    <mergeCell ref="A165:A166"/>
    <mergeCell ref="A169:A170"/>
    <mergeCell ref="A181:A185"/>
    <mergeCell ref="A188:A192"/>
    <mergeCell ref="A171:A172"/>
    <mergeCell ref="A173:A174"/>
    <mergeCell ref="A175:A176"/>
    <mergeCell ref="A200:A201"/>
    <mergeCell ref="A202:A203"/>
    <mergeCell ref="A204:A205"/>
    <mergeCell ref="A206:A207"/>
    <mergeCell ref="A213:A214"/>
    <mergeCell ref="A228:A229"/>
    <mergeCell ref="A230:A231"/>
    <mergeCell ref="A208:A209"/>
    <mergeCell ref="A221:A222"/>
    <mergeCell ref="A232:A233"/>
    <mergeCell ref="A215:A216"/>
    <mergeCell ref="A217:A218"/>
    <mergeCell ref="A219:A220"/>
    <mergeCell ref="A224:A225"/>
    <mergeCell ref="A226:A227"/>
  </mergeCells>
  <pageMargins left="0.7" right="0.7" top="0.75" bottom="0.75" header="0.3" footer="0.3"/>
  <pageSetup paperSize="9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P83"/>
  <sheetViews>
    <sheetView workbookViewId="0">
      <selection activeCell="C89" sqref="C89"/>
    </sheetView>
  </sheetViews>
  <sheetFormatPr defaultRowHeight="15" x14ac:dyDescent="0.25"/>
  <cols>
    <col min="1" max="1" width="11" customWidth="1"/>
    <col min="2" max="2" width="20.42578125" customWidth="1"/>
    <col min="3" max="3" width="14.42578125" customWidth="1"/>
    <col min="4" max="5" width="0" hidden="1" customWidth="1"/>
    <col min="6" max="6" width="13.140625" customWidth="1"/>
    <col min="7" max="8" width="0" hidden="1" customWidth="1"/>
    <col min="9" max="11" width="8.85546875" hidden="1" customWidth="1"/>
    <col min="12" max="12" width="11.140625" hidden="1" customWidth="1"/>
    <col min="13" max="13" width="12.7109375" hidden="1" customWidth="1"/>
    <col min="14" max="14" width="12.85546875" customWidth="1"/>
    <col min="15" max="15" width="8.85546875" hidden="1" customWidth="1"/>
    <col min="16" max="16" width="11.85546875" customWidth="1"/>
  </cols>
  <sheetData>
    <row r="2" spans="1:16" ht="15.75" x14ac:dyDescent="0.25">
      <c r="A2" s="326" t="s">
        <v>0</v>
      </c>
      <c r="B2" s="326" t="s">
        <v>1</v>
      </c>
      <c r="C2" s="326" t="s">
        <v>2</v>
      </c>
      <c r="D2" s="326" t="s">
        <v>3</v>
      </c>
      <c r="E2" s="326" t="s">
        <v>4</v>
      </c>
      <c r="F2" s="326" t="s">
        <v>5</v>
      </c>
      <c r="G2" s="329" t="s">
        <v>6</v>
      </c>
      <c r="H2" s="330"/>
      <c r="I2" s="329" t="s">
        <v>7</v>
      </c>
      <c r="J2" s="331"/>
      <c r="K2" s="330"/>
      <c r="L2" s="326" t="s">
        <v>8</v>
      </c>
      <c r="M2" s="332" t="s">
        <v>9</v>
      </c>
      <c r="N2" s="332" t="s">
        <v>156</v>
      </c>
      <c r="O2" s="332" t="s">
        <v>156</v>
      </c>
      <c r="P2" s="319" t="s">
        <v>12</v>
      </c>
    </row>
    <row r="3" spans="1:16" x14ac:dyDescent="0.25">
      <c r="A3" s="327"/>
      <c r="B3" s="327"/>
      <c r="C3" s="327"/>
      <c r="D3" s="327"/>
      <c r="E3" s="327"/>
      <c r="F3" s="327"/>
      <c r="G3" s="326" t="s">
        <v>13</v>
      </c>
      <c r="H3" s="326" t="s">
        <v>14</v>
      </c>
      <c r="I3" s="326" t="s">
        <v>15</v>
      </c>
      <c r="J3" s="326" t="s">
        <v>16</v>
      </c>
      <c r="K3" s="326" t="s">
        <v>17</v>
      </c>
      <c r="L3" s="327"/>
      <c r="M3" s="333"/>
      <c r="N3" s="333"/>
      <c r="O3" s="333"/>
      <c r="P3" s="320"/>
    </row>
    <row r="4" spans="1:16" x14ac:dyDescent="0.25">
      <c r="A4" s="328"/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34"/>
      <c r="N4" s="334"/>
      <c r="O4" s="334"/>
      <c r="P4" s="321"/>
    </row>
    <row r="5" spans="1:16" ht="15.75" x14ac:dyDescent="0.25">
      <c r="A5" s="2" t="s">
        <v>18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2" t="s">
        <v>23</v>
      </c>
      <c r="H5" s="2" t="s">
        <v>23</v>
      </c>
      <c r="I5" s="2" t="s">
        <v>24</v>
      </c>
      <c r="J5" s="2" t="s">
        <v>22</v>
      </c>
      <c r="K5" s="2" t="s">
        <v>24</v>
      </c>
      <c r="L5" s="2" t="s">
        <v>25</v>
      </c>
      <c r="M5" s="3" t="s">
        <v>25</v>
      </c>
      <c r="N5" s="3" t="s">
        <v>26</v>
      </c>
      <c r="O5" s="3" t="s">
        <v>27</v>
      </c>
      <c r="P5" s="2" t="s">
        <v>28</v>
      </c>
    </row>
    <row r="6" spans="1:16" ht="23.25" customHeight="1" x14ac:dyDescent="0.25">
      <c r="A6" s="2">
        <v>1</v>
      </c>
      <c r="B6" s="4" t="s">
        <v>205</v>
      </c>
      <c r="C6" s="4" t="s">
        <v>29</v>
      </c>
      <c r="D6" s="2" t="s">
        <v>30</v>
      </c>
      <c r="E6" s="2">
        <v>1.5</v>
      </c>
      <c r="F6" s="2">
        <v>74</v>
      </c>
      <c r="G6" s="5">
        <f>H6*100/F6</f>
        <v>202.70270270270271</v>
      </c>
      <c r="H6" s="2">
        <v>150</v>
      </c>
      <c r="I6" s="6">
        <f>1/(H6/(10*F6))</f>
        <v>4.9333333333333327</v>
      </c>
      <c r="J6" s="2">
        <v>0</v>
      </c>
      <c r="K6" s="6">
        <f>I6-(I6/100*J6)</f>
        <v>4.9333333333333327</v>
      </c>
      <c r="L6" s="7">
        <v>600.6</v>
      </c>
      <c r="M6" s="8">
        <f>L6*E6</f>
        <v>900.90000000000009</v>
      </c>
      <c r="N6" s="9">
        <f>A6/K6</f>
        <v>0.20270270270270274</v>
      </c>
      <c r="O6" s="8">
        <f>E6*N6</f>
        <v>0.30405405405405411</v>
      </c>
      <c r="P6" s="10">
        <f>N6*M6</f>
        <v>182.61486486486493</v>
      </c>
    </row>
    <row r="7" spans="1:16" ht="27" customHeight="1" x14ac:dyDescent="0.25">
      <c r="A7" s="2">
        <v>1</v>
      </c>
      <c r="B7" s="4" t="s">
        <v>206</v>
      </c>
      <c r="C7" s="4" t="s">
        <v>32</v>
      </c>
      <c r="D7" s="11">
        <v>7004</v>
      </c>
      <c r="E7" s="2">
        <v>1.52</v>
      </c>
      <c r="F7" s="2">
        <v>59</v>
      </c>
      <c r="G7" s="5">
        <f>H7*100/F7</f>
        <v>84.745762711864401</v>
      </c>
      <c r="H7" s="2">
        <v>50</v>
      </c>
      <c r="I7" s="6">
        <f>1/(H7/(10*F7))</f>
        <v>11.8</v>
      </c>
      <c r="J7" s="2">
        <v>0</v>
      </c>
      <c r="K7" s="6">
        <f>I7-(I7/100*J7)</f>
        <v>11.8</v>
      </c>
      <c r="L7" s="7">
        <v>539.1</v>
      </c>
      <c r="M7" s="8">
        <f>L7*E7</f>
        <v>819.43200000000002</v>
      </c>
      <c r="N7" s="9">
        <f>A7/K7</f>
        <v>8.4745762711864403E-2</v>
      </c>
      <c r="O7" s="9">
        <f>E7*N7</f>
        <v>0.12881355932203389</v>
      </c>
      <c r="P7" s="10">
        <f>N7*M7</f>
        <v>69.44338983050848</v>
      </c>
    </row>
    <row r="8" spans="1:16" ht="15.75" x14ac:dyDescent="0.25">
      <c r="A8" s="2"/>
      <c r="B8" s="283" t="s">
        <v>35</v>
      </c>
      <c r="C8" s="284"/>
      <c r="D8" s="284"/>
      <c r="E8" s="284"/>
      <c r="F8" s="284"/>
      <c r="G8" s="285"/>
      <c r="H8" s="2">
        <f>SUM(H6:H7)</f>
        <v>200</v>
      </c>
      <c r="I8" s="283"/>
      <c r="J8" s="284"/>
      <c r="K8" s="284"/>
      <c r="L8" s="284"/>
      <c r="M8" s="284"/>
      <c r="N8" s="284"/>
      <c r="O8" s="285"/>
      <c r="P8" s="10">
        <f>SUM(P6:P7)</f>
        <v>252.05825469537342</v>
      </c>
    </row>
    <row r="11" spans="1:16" ht="15.75" x14ac:dyDescent="0.25">
      <c r="A11" s="326" t="s">
        <v>0</v>
      </c>
      <c r="B11" s="326" t="s">
        <v>1</v>
      </c>
      <c r="C11" s="326" t="s">
        <v>2</v>
      </c>
      <c r="D11" s="326" t="s">
        <v>3</v>
      </c>
      <c r="E11" s="326" t="s">
        <v>4</v>
      </c>
      <c r="F11" s="326" t="s">
        <v>5</v>
      </c>
      <c r="G11" s="329" t="s">
        <v>6</v>
      </c>
      <c r="H11" s="330"/>
      <c r="I11" s="329" t="s">
        <v>7</v>
      </c>
      <c r="J11" s="331"/>
      <c r="K11" s="330"/>
      <c r="L11" s="326" t="s">
        <v>8</v>
      </c>
      <c r="M11" s="332" t="s">
        <v>9</v>
      </c>
      <c r="N11" s="332" t="s">
        <v>156</v>
      </c>
      <c r="O11" s="332" t="s">
        <v>156</v>
      </c>
      <c r="P11" s="319" t="s">
        <v>12</v>
      </c>
    </row>
    <row r="12" spans="1:16" x14ac:dyDescent="0.25">
      <c r="A12" s="327"/>
      <c r="B12" s="327"/>
      <c r="C12" s="327"/>
      <c r="D12" s="327"/>
      <c r="E12" s="327"/>
      <c r="F12" s="327"/>
      <c r="G12" s="326" t="s">
        <v>13</v>
      </c>
      <c r="H12" s="326" t="s">
        <v>14</v>
      </c>
      <c r="I12" s="326" t="s">
        <v>15</v>
      </c>
      <c r="J12" s="326" t="s">
        <v>16</v>
      </c>
      <c r="K12" s="326" t="s">
        <v>17</v>
      </c>
      <c r="L12" s="327"/>
      <c r="M12" s="333"/>
      <c r="N12" s="333"/>
      <c r="O12" s="333"/>
      <c r="P12" s="320"/>
    </row>
    <row r="13" spans="1:16" x14ac:dyDescent="0.25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34"/>
      <c r="N13" s="334"/>
      <c r="O13" s="334"/>
      <c r="P13" s="321"/>
    </row>
    <row r="14" spans="1:16" ht="15.75" x14ac:dyDescent="0.25">
      <c r="A14" s="2" t="s">
        <v>18</v>
      </c>
      <c r="B14" s="2" t="s">
        <v>19</v>
      </c>
      <c r="C14" s="2"/>
      <c r="D14" s="2" t="s">
        <v>20</v>
      </c>
      <c r="E14" s="2" t="s">
        <v>21</v>
      </c>
      <c r="F14" s="2" t="s">
        <v>22</v>
      </c>
      <c r="G14" s="2" t="s">
        <v>23</v>
      </c>
      <c r="H14" s="2" t="s">
        <v>23</v>
      </c>
      <c r="I14" s="2" t="s">
        <v>24</v>
      </c>
      <c r="J14" s="2" t="s">
        <v>22</v>
      </c>
      <c r="K14" s="2" t="s">
        <v>24</v>
      </c>
      <c r="L14" s="2" t="s">
        <v>25</v>
      </c>
      <c r="M14" s="3" t="s">
        <v>25</v>
      </c>
      <c r="N14" s="3" t="s">
        <v>26</v>
      </c>
      <c r="O14" s="3" t="s">
        <v>27</v>
      </c>
      <c r="P14" s="2" t="s">
        <v>28</v>
      </c>
    </row>
    <row r="15" spans="1:16" ht="31.5" x14ac:dyDescent="0.25">
      <c r="A15" s="2">
        <v>1</v>
      </c>
      <c r="B15" s="4" t="s">
        <v>65</v>
      </c>
      <c r="C15" s="4" t="s">
        <v>29</v>
      </c>
      <c r="D15" s="2" t="s">
        <v>30</v>
      </c>
      <c r="E15" s="2">
        <v>1.6</v>
      </c>
      <c r="F15" s="2">
        <v>74</v>
      </c>
      <c r="G15" s="5">
        <f>H15*100/F15</f>
        <v>162.16216216216216</v>
      </c>
      <c r="H15" s="2">
        <v>120</v>
      </c>
      <c r="I15" s="6">
        <f>1/(H15/(10*F15))</f>
        <v>6.1666666666666661</v>
      </c>
      <c r="J15" s="2">
        <v>0</v>
      </c>
      <c r="K15" s="6">
        <f>I15-(I15/100*J15)</f>
        <v>6.1666666666666661</v>
      </c>
      <c r="L15" s="7">
        <f>M15/1.6</f>
        <v>392.99999999999994</v>
      </c>
      <c r="M15" s="8">
        <f>628.8</f>
        <v>628.79999999999995</v>
      </c>
      <c r="N15" s="9">
        <f>A15/K15</f>
        <v>0.16216216216216217</v>
      </c>
      <c r="O15" s="8">
        <f>E15*N15</f>
        <v>0.25945945945945947</v>
      </c>
      <c r="P15" s="10">
        <f>N15*M15</f>
        <v>101.96756756756757</v>
      </c>
    </row>
    <row r="16" spans="1:16" ht="31.5" x14ac:dyDescent="0.25">
      <c r="A16" s="2">
        <v>1</v>
      </c>
      <c r="B16" s="4" t="s">
        <v>31</v>
      </c>
      <c r="C16" s="4" t="s">
        <v>32</v>
      </c>
      <c r="D16" s="11">
        <v>7004</v>
      </c>
      <c r="E16" s="2">
        <v>1.4</v>
      </c>
      <c r="F16" s="2">
        <v>63</v>
      </c>
      <c r="G16" s="5">
        <f>H16*100/F16</f>
        <v>95.238095238095241</v>
      </c>
      <c r="H16" s="2">
        <v>60</v>
      </c>
      <c r="I16" s="6">
        <f>1/(H16/(10*F16))</f>
        <v>10.5</v>
      </c>
      <c r="J16" s="2">
        <v>0</v>
      </c>
      <c r="K16" s="6">
        <f>I16-(I16/100*J16)</f>
        <v>10.5</v>
      </c>
      <c r="L16" s="7">
        <f>M16/1.4</f>
        <v>706.42857142857144</v>
      </c>
      <c r="M16" s="8">
        <v>989</v>
      </c>
      <c r="N16" s="9">
        <f>A16/K16</f>
        <v>9.5238095238095233E-2</v>
      </c>
      <c r="O16" s="9">
        <f>E16*N16</f>
        <v>0.1333333333333333</v>
      </c>
      <c r="P16" s="10">
        <f>N16*M16</f>
        <v>94.19047619047619</v>
      </c>
    </row>
    <row r="17" spans="1:16" ht="15.75" x14ac:dyDescent="0.25">
      <c r="A17" s="2"/>
      <c r="B17" s="283" t="s">
        <v>35</v>
      </c>
      <c r="C17" s="284"/>
      <c r="D17" s="284"/>
      <c r="E17" s="284"/>
      <c r="F17" s="284"/>
      <c r="G17" s="285"/>
      <c r="H17" s="2">
        <f>SUM(H15:H16)</f>
        <v>180</v>
      </c>
      <c r="I17" s="283"/>
      <c r="J17" s="284"/>
      <c r="K17" s="284"/>
      <c r="L17" s="284"/>
      <c r="M17" s="284"/>
      <c r="N17" s="284"/>
      <c r="O17" s="285"/>
      <c r="P17" s="10">
        <f>SUM(P15:P16)</f>
        <v>196.15804375804376</v>
      </c>
    </row>
    <row r="20" spans="1:16" ht="15.75" x14ac:dyDescent="0.25">
      <c r="A20" s="326" t="s">
        <v>0</v>
      </c>
      <c r="B20" s="326" t="s">
        <v>1</v>
      </c>
      <c r="C20" s="326" t="s">
        <v>2</v>
      </c>
      <c r="D20" s="326" t="s">
        <v>3</v>
      </c>
      <c r="E20" s="326" t="s">
        <v>4</v>
      </c>
      <c r="F20" s="326" t="s">
        <v>5</v>
      </c>
      <c r="G20" s="329" t="s">
        <v>6</v>
      </c>
      <c r="H20" s="330"/>
      <c r="I20" s="329" t="s">
        <v>7</v>
      </c>
      <c r="J20" s="331"/>
      <c r="K20" s="330"/>
      <c r="L20" s="326" t="s">
        <v>8</v>
      </c>
      <c r="M20" s="332" t="s">
        <v>9</v>
      </c>
      <c r="N20" s="332" t="s">
        <v>156</v>
      </c>
      <c r="O20" s="332" t="s">
        <v>156</v>
      </c>
      <c r="P20" s="319" t="s">
        <v>12</v>
      </c>
    </row>
    <row r="21" spans="1:16" x14ac:dyDescent="0.25">
      <c r="A21" s="327"/>
      <c r="B21" s="327"/>
      <c r="C21" s="327"/>
      <c r="D21" s="327"/>
      <c r="E21" s="327"/>
      <c r="F21" s="327"/>
      <c r="G21" s="326" t="s">
        <v>13</v>
      </c>
      <c r="H21" s="326" t="s">
        <v>14</v>
      </c>
      <c r="I21" s="326" t="s">
        <v>15</v>
      </c>
      <c r="J21" s="326" t="s">
        <v>16</v>
      </c>
      <c r="K21" s="326" t="s">
        <v>17</v>
      </c>
      <c r="L21" s="327"/>
      <c r="M21" s="333"/>
      <c r="N21" s="333"/>
      <c r="O21" s="333"/>
      <c r="P21" s="320"/>
    </row>
    <row r="22" spans="1:16" x14ac:dyDescent="0.25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34"/>
      <c r="N22" s="334"/>
      <c r="O22" s="334"/>
      <c r="P22" s="321"/>
    </row>
    <row r="23" spans="1:16" ht="15.75" x14ac:dyDescent="0.25">
      <c r="A23" s="2" t="s">
        <v>18</v>
      </c>
      <c r="B23" s="2" t="s">
        <v>19</v>
      </c>
      <c r="C23" s="2"/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23</v>
      </c>
      <c r="I23" s="2" t="s">
        <v>24</v>
      </c>
      <c r="J23" s="2" t="s">
        <v>22</v>
      </c>
      <c r="K23" s="2" t="s">
        <v>24</v>
      </c>
      <c r="L23" s="2" t="s">
        <v>25</v>
      </c>
      <c r="M23" s="3" t="s">
        <v>25</v>
      </c>
      <c r="N23" s="3" t="s">
        <v>26</v>
      </c>
      <c r="O23" s="3" t="s">
        <v>27</v>
      </c>
      <c r="P23" s="2" t="s">
        <v>28</v>
      </c>
    </row>
    <row r="24" spans="1:16" ht="31.5" x14ac:dyDescent="0.25">
      <c r="A24" s="2">
        <v>1</v>
      </c>
      <c r="B24" s="4" t="s">
        <v>65</v>
      </c>
      <c r="C24" s="4" t="s">
        <v>29</v>
      </c>
      <c r="D24" s="2" t="s">
        <v>30</v>
      </c>
      <c r="E24" s="2">
        <v>1.6</v>
      </c>
      <c r="F24" s="2">
        <v>74</v>
      </c>
      <c r="G24" s="5">
        <f>H24*100/F24</f>
        <v>229.72972972972974</v>
      </c>
      <c r="H24" s="2">
        <v>170</v>
      </c>
      <c r="I24" s="6">
        <f>1/(H24/(10*F24))</f>
        <v>4.3529411764705879</v>
      </c>
      <c r="J24" s="2">
        <v>0</v>
      </c>
      <c r="K24" s="6">
        <f>I24-(I24/100*J24)</f>
        <v>4.3529411764705879</v>
      </c>
      <c r="L24" s="7">
        <f>M24/1.6</f>
        <v>392.99999999999994</v>
      </c>
      <c r="M24" s="8">
        <v>628.79999999999995</v>
      </c>
      <c r="N24" s="9">
        <f>A24/K24</f>
        <v>0.22972972972972974</v>
      </c>
      <c r="O24" s="8">
        <f>E24*N24</f>
        <v>0.36756756756756759</v>
      </c>
      <c r="P24" s="10">
        <f>N24*M24</f>
        <v>144.45405405405404</v>
      </c>
    </row>
    <row r="25" spans="1:16" ht="31.5" x14ac:dyDescent="0.25">
      <c r="A25" s="2">
        <v>1</v>
      </c>
      <c r="B25" s="4" t="s">
        <v>31</v>
      </c>
      <c r="C25" s="4" t="s">
        <v>32</v>
      </c>
      <c r="D25" s="11">
        <v>7004</v>
      </c>
      <c r="E25" s="2">
        <v>1.4</v>
      </c>
      <c r="F25" s="2">
        <v>63</v>
      </c>
      <c r="G25" s="5">
        <f>H25*100/F25</f>
        <v>79.365079365079367</v>
      </c>
      <c r="H25" s="2">
        <v>50</v>
      </c>
      <c r="I25" s="6">
        <f>1/(H25/(10*F25))</f>
        <v>12.600000000000001</v>
      </c>
      <c r="J25" s="2">
        <v>0</v>
      </c>
      <c r="K25" s="6">
        <f>I25-(I25/100*J25)</f>
        <v>12.600000000000001</v>
      </c>
      <c r="L25" s="7">
        <f>M25/1.4</f>
        <v>706.42857142857144</v>
      </c>
      <c r="M25" s="8">
        <v>989</v>
      </c>
      <c r="N25" s="9">
        <f>A25/K25</f>
        <v>7.9365079365079361E-2</v>
      </c>
      <c r="O25" s="9">
        <f>E25*N25</f>
        <v>0.11111111111111109</v>
      </c>
      <c r="P25" s="10">
        <f>N25*M25</f>
        <v>78.492063492063494</v>
      </c>
    </row>
    <row r="26" spans="1:16" ht="15.75" x14ac:dyDescent="0.25">
      <c r="A26" s="2"/>
      <c r="B26" s="283" t="s">
        <v>35</v>
      </c>
      <c r="C26" s="284"/>
      <c r="D26" s="284"/>
      <c r="E26" s="284"/>
      <c r="F26" s="284"/>
      <c r="G26" s="285"/>
      <c r="H26" s="2">
        <f>SUM(H24:H25)</f>
        <v>220</v>
      </c>
      <c r="I26" s="283"/>
      <c r="J26" s="284"/>
      <c r="K26" s="284"/>
      <c r="L26" s="284"/>
      <c r="M26" s="284"/>
      <c r="N26" s="284"/>
      <c r="O26" s="285"/>
      <c r="P26" s="10">
        <f>SUM(P24:P25)</f>
        <v>222.94611754611753</v>
      </c>
    </row>
    <row r="30" spans="1:16" ht="15.75" x14ac:dyDescent="0.25">
      <c r="A30" s="326" t="s">
        <v>0</v>
      </c>
      <c r="B30" s="326" t="s">
        <v>1</v>
      </c>
      <c r="C30" s="326" t="s">
        <v>2</v>
      </c>
      <c r="D30" s="326" t="s">
        <v>3</v>
      </c>
      <c r="E30" s="326" t="s">
        <v>4</v>
      </c>
      <c r="F30" s="326" t="s">
        <v>5</v>
      </c>
      <c r="G30" s="329" t="s">
        <v>6</v>
      </c>
      <c r="H30" s="330"/>
      <c r="I30" s="329" t="s">
        <v>7</v>
      </c>
      <c r="J30" s="331"/>
      <c r="K30" s="330"/>
      <c r="L30" s="326" t="s">
        <v>8</v>
      </c>
      <c r="M30" s="332" t="s">
        <v>9</v>
      </c>
      <c r="N30" s="332" t="s">
        <v>156</v>
      </c>
      <c r="O30" s="332" t="s">
        <v>156</v>
      </c>
      <c r="P30" s="319" t="s">
        <v>12</v>
      </c>
    </row>
    <row r="31" spans="1:16" x14ac:dyDescent="0.25">
      <c r="A31" s="327"/>
      <c r="B31" s="327"/>
      <c r="C31" s="327"/>
      <c r="D31" s="327"/>
      <c r="E31" s="327"/>
      <c r="F31" s="327"/>
      <c r="G31" s="326" t="s">
        <v>13</v>
      </c>
      <c r="H31" s="326" t="s">
        <v>14</v>
      </c>
      <c r="I31" s="326" t="s">
        <v>15</v>
      </c>
      <c r="J31" s="326" t="s">
        <v>16</v>
      </c>
      <c r="K31" s="326" t="s">
        <v>17</v>
      </c>
      <c r="L31" s="327"/>
      <c r="M31" s="333"/>
      <c r="N31" s="333"/>
      <c r="O31" s="333"/>
      <c r="P31" s="320"/>
    </row>
    <row r="32" spans="1:16" x14ac:dyDescent="0.25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34"/>
      <c r="N32" s="334"/>
      <c r="O32" s="334"/>
      <c r="P32" s="321"/>
    </row>
    <row r="33" spans="1:16" ht="15.75" x14ac:dyDescent="0.25">
      <c r="A33" s="2" t="s">
        <v>18</v>
      </c>
      <c r="B33" s="2" t="s">
        <v>19</v>
      </c>
      <c r="C33" s="2"/>
      <c r="D33" s="2" t="s">
        <v>20</v>
      </c>
      <c r="E33" s="2" t="s">
        <v>21</v>
      </c>
      <c r="F33" s="2" t="s">
        <v>22</v>
      </c>
      <c r="G33" s="2" t="s">
        <v>23</v>
      </c>
      <c r="H33" s="2" t="s">
        <v>23</v>
      </c>
      <c r="I33" s="2" t="s">
        <v>24</v>
      </c>
      <c r="J33" s="2" t="s">
        <v>22</v>
      </c>
      <c r="K33" s="2" t="s">
        <v>24</v>
      </c>
      <c r="L33" s="2" t="s">
        <v>25</v>
      </c>
      <c r="M33" s="3" t="s">
        <v>25</v>
      </c>
      <c r="N33" s="3" t="s">
        <v>26</v>
      </c>
      <c r="O33" s="3" t="s">
        <v>27</v>
      </c>
      <c r="P33" s="2" t="s">
        <v>28</v>
      </c>
    </row>
    <row r="34" spans="1:16" ht="15.75" x14ac:dyDescent="0.25">
      <c r="A34" s="2">
        <v>1</v>
      </c>
      <c r="B34" s="4" t="s">
        <v>205</v>
      </c>
      <c r="C34" s="4" t="s">
        <v>29</v>
      </c>
      <c r="D34" s="2" t="s">
        <v>30</v>
      </c>
      <c r="E34" s="2">
        <v>1.5</v>
      </c>
      <c r="F34" s="2">
        <v>74</v>
      </c>
      <c r="G34" s="5">
        <f>H34*100/F34</f>
        <v>202.70270270270271</v>
      </c>
      <c r="H34" s="2">
        <v>150</v>
      </c>
      <c r="I34" s="6">
        <f>1/(H34/(10*F34))</f>
        <v>4.9333333333333327</v>
      </c>
      <c r="J34" s="2">
        <v>0</v>
      </c>
      <c r="K34" s="6">
        <f>I34-(I34/100*J34)</f>
        <v>4.9333333333333327</v>
      </c>
      <c r="L34" s="7">
        <v>600.6</v>
      </c>
      <c r="M34" s="8">
        <f>L34*E34</f>
        <v>900.90000000000009</v>
      </c>
      <c r="N34" s="9">
        <f>A34/K34</f>
        <v>0.20270270270270274</v>
      </c>
      <c r="O34" s="8">
        <f>E34*N34</f>
        <v>0.30405405405405411</v>
      </c>
      <c r="P34" s="10">
        <f>N34*M34</f>
        <v>182.61486486486493</v>
      </c>
    </row>
    <row r="35" spans="1:16" ht="15.75" x14ac:dyDescent="0.25">
      <c r="A35" s="2">
        <v>1</v>
      </c>
      <c r="B35" s="4" t="s">
        <v>206</v>
      </c>
      <c r="C35" s="4" t="s">
        <v>32</v>
      </c>
      <c r="D35" s="11">
        <v>9006</v>
      </c>
      <c r="E35" s="2">
        <v>1.52</v>
      </c>
      <c r="F35" s="2">
        <v>59</v>
      </c>
      <c r="G35" s="5">
        <f>H35*100/F35</f>
        <v>84.745762711864401</v>
      </c>
      <c r="H35" s="2">
        <v>50</v>
      </c>
      <c r="I35" s="6">
        <f>1/(H35/(10*F35))</f>
        <v>11.8</v>
      </c>
      <c r="J35" s="2">
        <v>0</v>
      </c>
      <c r="K35" s="6">
        <f>I35-(I35/100*J35)</f>
        <v>11.8</v>
      </c>
      <c r="L35" s="7">
        <f>603.8*1.2</f>
        <v>724.56</v>
      </c>
      <c r="M35" s="8">
        <f>L35*E35</f>
        <v>1101.3311999999999</v>
      </c>
      <c r="N35" s="9">
        <f>A35/K35</f>
        <v>8.4745762711864403E-2</v>
      </c>
      <c r="O35" s="9">
        <f>E35*N35</f>
        <v>0.12881355932203389</v>
      </c>
      <c r="P35" s="10">
        <f>N35*M35</f>
        <v>93.333152542372858</v>
      </c>
    </row>
    <row r="36" spans="1:16" ht="15.75" x14ac:dyDescent="0.25">
      <c r="A36" s="2"/>
      <c r="B36" s="283" t="s">
        <v>35</v>
      </c>
      <c r="C36" s="284"/>
      <c r="D36" s="284"/>
      <c r="E36" s="284"/>
      <c r="F36" s="284"/>
      <c r="G36" s="285"/>
      <c r="H36" s="2">
        <f>SUM(H34:H35)</f>
        <v>200</v>
      </c>
      <c r="I36" s="283"/>
      <c r="J36" s="284"/>
      <c r="K36" s="284"/>
      <c r="L36" s="284"/>
      <c r="M36" s="284"/>
      <c r="N36" s="284"/>
      <c r="O36" s="285"/>
      <c r="P36" s="10">
        <f>SUM(P34:P35)</f>
        <v>275.94801740723778</v>
      </c>
    </row>
    <row r="39" spans="1:16" ht="15.75" x14ac:dyDescent="0.25">
      <c r="A39" s="326" t="s">
        <v>0</v>
      </c>
      <c r="B39" s="326" t="s">
        <v>1</v>
      </c>
      <c r="C39" s="326" t="s">
        <v>2</v>
      </c>
      <c r="D39" s="326" t="s">
        <v>3</v>
      </c>
      <c r="E39" s="326" t="s">
        <v>4</v>
      </c>
      <c r="F39" s="326" t="s">
        <v>5</v>
      </c>
      <c r="G39" s="329" t="s">
        <v>6</v>
      </c>
      <c r="H39" s="330"/>
      <c r="I39" s="329" t="s">
        <v>7</v>
      </c>
      <c r="J39" s="331"/>
      <c r="K39" s="330"/>
      <c r="L39" s="326" t="s">
        <v>8</v>
      </c>
      <c r="M39" s="332" t="s">
        <v>9</v>
      </c>
      <c r="N39" s="332" t="s">
        <v>156</v>
      </c>
      <c r="O39" s="332" t="s">
        <v>156</v>
      </c>
      <c r="P39" s="319" t="s">
        <v>12</v>
      </c>
    </row>
    <row r="40" spans="1:16" x14ac:dyDescent="0.25">
      <c r="A40" s="327"/>
      <c r="B40" s="327"/>
      <c r="C40" s="327"/>
      <c r="D40" s="327"/>
      <c r="E40" s="327"/>
      <c r="F40" s="327"/>
      <c r="G40" s="326" t="s">
        <v>13</v>
      </c>
      <c r="H40" s="326" t="s">
        <v>14</v>
      </c>
      <c r="I40" s="326" t="s">
        <v>15</v>
      </c>
      <c r="J40" s="326" t="s">
        <v>16</v>
      </c>
      <c r="K40" s="326" t="s">
        <v>17</v>
      </c>
      <c r="L40" s="327"/>
      <c r="M40" s="333"/>
      <c r="N40" s="333"/>
      <c r="O40" s="333"/>
      <c r="P40" s="320"/>
    </row>
    <row r="41" spans="1:16" x14ac:dyDescent="0.25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34"/>
      <c r="N41" s="334"/>
      <c r="O41" s="334"/>
      <c r="P41" s="321"/>
    </row>
    <row r="42" spans="1:16" ht="15.75" x14ac:dyDescent="0.25">
      <c r="A42" s="2" t="s">
        <v>18</v>
      </c>
      <c r="B42" s="2" t="s">
        <v>19</v>
      </c>
      <c r="C42" s="2"/>
      <c r="D42" s="2" t="s">
        <v>20</v>
      </c>
      <c r="E42" s="2" t="s">
        <v>21</v>
      </c>
      <c r="F42" s="2" t="s">
        <v>22</v>
      </c>
      <c r="G42" s="2" t="s">
        <v>23</v>
      </c>
      <c r="H42" s="2" t="s">
        <v>23</v>
      </c>
      <c r="I42" s="2" t="s">
        <v>24</v>
      </c>
      <c r="J42" s="2" t="s">
        <v>22</v>
      </c>
      <c r="K42" s="2" t="s">
        <v>24</v>
      </c>
      <c r="L42" s="2" t="s">
        <v>25</v>
      </c>
      <c r="M42" s="3" t="s">
        <v>25</v>
      </c>
      <c r="N42" s="3" t="s">
        <v>26</v>
      </c>
      <c r="O42" s="3" t="s">
        <v>27</v>
      </c>
      <c r="P42" s="2" t="s">
        <v>28</v>
      </c>
    </row>
    <row r="43" spans="1:16" ht="31.5" x14ac:dyDescent="0.25">
      <c r="A43" s="2">
        <v>1</v>
      </c>
      <c r="B43" s="4" t="s">
        <v>65</v>
      </c>
      <c r="C43" s="4" t="s">
        <v>29</v>
      </c>
      <c r="D43" s="2" t="s">
        <v>30</v>
      </c>
      <c r="E43" s="2">
        <v>1.6</v>
      </c>
      <c r="F43" s="2">
        <v>74</v>
      </c>
      <c r="G43" s="5">
        <f>H43*100/F43</f>
        <v>162.16216216216216</v>
      </c>
      <c r="H43" s="2">
        <v>120</v>
      </c>
      <c r="I43" s="6">
        <f>1/(H43/(10*F43))</f>
        <v>6.1666666666666661</v>
      </c>
      <c r="J43" s="2">
        <v>0</v>
      </c>
      <c r="K43" s="6">
        <f>I43-(I43/100*J43)</f>
        <v>6.1666666666666661</v>
      </c>
      <c r="L43" s="7">
        <f>M43/1.6</f>
        <v>392.99999999999994</v>
      </c>
      <c r="M43" s="8">
        <f>628.8</f>
        <v>628.79999999999995</v>
      </c>
      <c r="N43" s="9">
        <f>A43/K43</f>
        <v>0.16216216216216217</v>
      </c>
      <c r="O43" s="8">
        <f>E43*N43</f>
        <v>0.25945945945945947</v>
      </c>
      <c r="P43" s="10">
        <f>N43*M43</f>
        <v>101.96756756756757</v>
      </c>
    </row>
    <row r="44" spans="1:16" ht="31.5" x14ac:dyDescent="0.25">
      <c r="A44" s="2">
        <v>1</v>
      </c>
      <c r="B44" s="4" t="s">
        <v>31</v>
      </c>
      <c r="C44" s="4" t="s">
        <v>32</v>
      </c>
      <c r="D44" s="11">
        <v>9006</v>
      </c>
      <c r="E44" s="2">
        <v>1.4</v>
      </c>
      <c r="F44" s="2">
        <v>63</v>
      </c>
      <c r="G44" s="5">
        <f>H44*100/F44</f>
        <v>95.238095238095241</v>
      </c>
      <c r="H44" s="2">
        <v>60</v>
      </c>
      <c r="I44" s="6">
        <f>1/(H44/(10*F44))</f>
        <v>10.5</v>
      </c>
      <c r="J44" s="2">
        <v>0</v>
      </c>
      <c r="K44" s="6">
        <f>I44-(I44/100*J44)</f>
        <v>10.5</v>
      </c>
      <c r="L44" s="7">
        <f>M44/1.4</f>
        <v>793.71428571428578</v>
      </c>
      <c r="M44" s="8">
        <f>926*1.2</f>
        <v>1111.2</v>
      </c>
      <c r="N44" s="9">
        <f>A44/K44</f>
        <v>9.5238095238095233E-2</v>
      </c>
      <c r="O44" s="9">
        <f>E44*N44</f>
        <v>0.1333333333333333</v>
      </c>
      <c r="P44" s="10">
        <f>N44*M44</f>
        <v>105.82857142857142</v>
      </c>
    </row>
    <row r="45" spans="1:16" ht="15.75" x14ac:dyDescent="0.25">
      <c r="A45" s="2"/>
      <c r="B45" s="283" t="s">
        <v>35</v>
      </c>
      <c r="C45" s="284"/>
      <c r="D45" s="284"/>
      <c r="E45" s="284"/>
      <c r="F45" s="284"/>
      <c r="G45" s="285"/>
      <c r="H45" s="2">
        <f>SUM(H43:H44)</f>
        <v>180</v>
      </c>
      <c r="I45" s="283"/>
      <c r="J45" s="284"/>
      <c r="K45" s="284"/>
      <c r="L45" s="284"/>
      <c r="M45" s="284"/>
      <c r="N45" s="284"/>
      <c r="O45" s="285"/>
      <c r="P45" s="10">
        <f>SUM(P43:P44)</f>
        <v>207.79613899613901</v>
      </c>
    </row>
    <row r="48" spans="1:16" ht="15.75" x14ac:dyDescent="0.25">
      <c r="A48" s="326" t="s">
        <v>0</v>
      </c>
      <c r="B48" s="326" t="s">
        <v>1</v>
      </c>
      <c r="C48" s="326" t="s">
        <v>2</v>
      </c>
      <c r="D48" s="326" t="s">
        <v>3</v>
      </c>
      <c r="E48" s="326" t="s">
        <v>4</v>
      </c>
      <c r="F48" s="326" t="s">
        <v>5</v>
      </c>
      <c r="G48" s="329" t="s">
        <v>6</v>
      </c>
      <c r="H48" s="330"/>
      <c r="I48" s="329" t="s">
        <v>7</v>
      </c>
      <c r="J48" s="331"/>
      <c r="K48" s="330"/>
      <c r="L48" s="326" t="s">
        <v>8</v>
      </c>
      <c r="M48" s="332">
        <v>1111.2</v>
      </c>
      <c r="N48" s="332" t="s">
        <v>156</v>
      </c>
      <c r="O48" s="332" t="s">
        <v>156</v>
      </c>
      <c r="P48" s="319" t="s">
        <v>12</v>
      </c>
    </row>
    <row r="49" spans="1:16" x14ac:dyDescent="0.25">
      <c r="A49" s="327"/>
      <c r="B49" s="327"/>
      <c r="C49" s="327"/>
      <c r="D49" s="327"/>
      <c r="E49" s="327"/>
      <c r="F49" s="327"/>
      <c r="G49" s="326" t="s">
        <v>13</v>
      </c>
      <c r="H49" s="326" t="s">
        <v>14</v>
      </c>
      <c r="I49" s="326" t="s">
        <v>15</v>
      </c>
      <c r="J49" s="326" t="s">
        <v>16</v>
      </c>
      <c r="K49" s="326" t="s">
        <v>17</v>
      </c>
      <c r="L49" s="327"/>
      <c r="M49" s="333"/>
      <c r="N49" s="333"/>
      <c r="O49" s="333"/>
      <c r="P49" s="320"/>
    </row>
    <row r="50" spans="1:16" x14ac:dyDescent="0.25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34"/>
      <c r="N50" s="334"/>
      <c r="O50" s="334"/>
      <c r="P50" s="321"/>
    </row>
    <row r="51" spans="1:16" ht="15.75" x14ac:dyDescent="0.25">
      <c r="A51" s="2" t="s">
        <v>18</v>
      </c>
      <c r="B51" s="2" t="s">
        <v>19</v>
      </c>
      <c r="C51" s="2"/>
      <c r="D51" s="2" t="s">
        <v>20</v>
      </c>
      <c r="E51" s="2" t="s">
        <v>21</v>
      </c>
      <c r="F51" s="2" t="s">
        <v>22</v>
      </c>
      <c r="G51" s="2" t="s">
        <v>23</v>
      </c>
      <c r="H51" s="2" t="s">
        <v>23</v>
      </c>
      <c r="I51" s="2" t="s">
        <v>24</v>
      </c>
      <c r="J51" s="2" t="s">
        <v>22</v>
      </c>
      <c r="K51" s="2" t="s">
        <v>24</v>
      </c>
      <c r="L51" s="2" t="s">
        <v>25</v>
      </c>
      <c r="M51" s="3" t="s">
        <v>25</v>
      </c>
      <c r="N51" s="3" t="s">
        <v>26</v>
      </c>
      <c r="O51" s="3" t="s">
        <v>27</v>
      </c>
      <c r="P51" s="2" t="s">
        <v>28</v>
      </c>
    </row>
    <row r="52" spans="1:16" ht="31.5" x14ac:dyDescent="0.25">
      <c r="A52" s="2">
        <v>1</v>
      </c>
      <c r="B52" s="4" t="s">
        <v>65</v>
      </c>
      <c r="C52" s="4" t="s">
        <v>29</v>
      </c>
      <c r="D52" s="2" t="s">
        <v>30</v>
      </c>
      <c r="E52" s="2">
        <v>1.6</v>
      </c>
      <c r="F52" s="2">
        <v>80</v>
      </c>
      <c r="G52" s="5">
        <f>H52*100/F52</f>
        <v>175</v>
      </c>
      <c r="H52" s="2">
        <v>140</v>
      </c>
      <c r="I52" s="6">
        <f>1/(H52/(10*F52))</f>
        <v>5.7142857142857144</v>
      </c>
      <c r="J52" s="2">
        <v>0</v>
      </c>
      <c r="K52" s="6">
        <f>I52-(I52/100*J52)</f>
        <v>5.7142857142857144</v>
      </c>
      <c r="L52" s="7">
        <f>M52/1.6</f>
        <v>568.75</v>
      </c>
      <c r="M52" s="8">
        <v>910</v>
      </c>
      <c r="N52" s="9">
        <f>A52/K52</f>
        <v>0.17499999999999999</v>
      </c>
      <c r="O52" s="8">
        <f>E52*N52</f>
        <v>0.27999999999999997</v>
      </c>
      <c r="P52" s="10">
        <f>N52*M52</f>
        <v>159.25</v>
      </c>
    </row>
    <row r="53" spans="1:16" ht="31.5" x14ac:dyDescent="0.25">
      <c r="A53" s="2">
        <v>1</v>
      </c>
      <c r="B53" s="4" t="s">
        <v>31</v>
      </c>
      <c r="C53" s="4" t="s">
        <v>32</v>
      </c>
      <c r="D53" s="11">
        <v>9006</v>
      </c>
      <c r="E53" s="2">
        <v>1.4</v>
      </c>
      <c r="F53" s="2">
        <v>63</v>
      </c>
      <c r="G53" s="5">
        <f>H53*100/F53</f>
        <v>95.238095238095241</v>
      </c>
      <c r="H53" s="2">
        <v>60</v>
      </c>
      <c r="I53" s="6">
        <f>1/(H53/(10*F53))</f>
        <v>10.5</v>
      </c>
      <c r="J53" s="2">
        <v>0</v>
      </c>
      <c r="K53" s="6">
        <f>I53-(I53/100*J53)</f>
        <v>10.5</v>
      </c>
      <c r="L53" s="7">
        <f>M53/1.4</f>
        <v>793.71428571428578</v>
      </c>
      <c r="M53" s="8">
        <f>926*1.2</f>
        <v>1111.2</v>
      </c>
      <c r="N53" s="9">
        <f>A53/K53</f>
        <v>9.5238095238095233E-2</v>
      </c>
      <c r="O53" s="9">
        <f>E53*N53</f>
        <v>0.1333333333333333</v>
      </c>
      <c r="P53" s="10">
        <f>N53*M53</f>
        <v>105.82857142857142</v>
      </c>
    </row>
    <row r="54" spans="1:16" ht="15.75" x14ac:dyDescent="0.25">
      <c r="A54" s="2"/>
      <c r="B54" s="283" t="s">
        <v>35</v>
      </c>
      <c r="C54" s="284"/>
      <c r="D54" s="284"/>
      <c r="E54" s="284"/>
      <c r="F54" s="284"/>
      <c r="G54" s="285"/>
      <c r="H54" s="2">
        <f>SUM(H52:H53)</f>
        <v>200</v>
      </c>
      <c r="I54" s="283"/>
      <c r="J54" s="284"/>
      <c r="K54" s="284"/>
      <c r="L54" s="284"/>
      <c r="M54" s="284"/>
      <c r="N54" s="284"/>
      <c r="O54" s="285"/>
      <c r="P54" s="10">
        <f>SUM(P52:P53)</f>
        <v>265.07857142857142</v>
      </c>
    </row>
    <row r="57" spans="1:16" ht="15.75" x14ac:dyDescent="0.25">
      <c r="A57" s="278" t="s">
        <v>0</v>
      </c>
      <c r="B57" s="278" t="s">
        <v>1</v>
      </c>
      <c r="C57" s="278" t="s">
        <v>2</v>
      </c>
      <c r="D57" s="278" t="s">
        <v>3</v>
      </c>
      <c r="E57" s="278" t="s">
        <v>4</v>
      </c>
      <c r="F57" s="278" t="s">
        <v>5</v>
      </c>
      <c r="G57" s="278" t="s">
        <v>6</v>
      </c>
      <c r="H57" s="278"/>
      <c r="I57" s="278"/>
      <c r="J57" s="278"/>
      <c r="K57" s="278"/>
      <c r="L57" s="278" t="s">
        <v>8</v>
      </c>
      <c r="M57" s="278" t="s">
        <v>9</v>
      </c>
      <c r="N57" s="332" t="s">
        <v>156</v>
      </c>
      <c r="O57" s="332" t="s">
        <v>156</v>
      </c>
      <c r="P57" s="338" t="s">
        <v>12</v>
      </c>
    </row>
    <row r="58" spans="1:16" x14ac:dyDescent="0.25">
      <c r="A58" s="278"/>
      <c r="B58" s="278"/>
      <c r="C58" s="278"/>
      <c r="D58" s="278"/>
      <c r="E58" s="278"/>
      <c r="F58" s="278"/>
      <c r="G58" s="278" t="s">
        <v>13</v>
      </c>
      <c r="H58" s="278" t="s">
        <v>14</v>
      </c>
      <c r="I58" s="278" t="s">
        <v>15</v>
      </c>
      <c r="J58" s="278" t="s">
        <v>16</v>
      </c>
      <c r="K58" s="278" t="s">
        <v>17</v>
      </c>
      <c r="L58" s="278"/>
      <c r="M58" s="278"/>
      <c r="N58" s="333"/>
      <c r="O58" s="333"/>
      <c r="P58" s="338"/>
    </row>
    <row r="59" spans="1:16" x14ac:dyDescent="0.25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334"/>
      <c r="O59" s="334"/>
      <c r="P59" s="338"/>
    </row>
    <row r="60" spans="1:16" ht="15.75" x14ac:dyDescent="0.25">
      <c r="A60" s="3" t="s">
        <v>18</v>
      </c>
      <c r="B60" s="3" t="s">
        <v>19</v>
      </c>
      <c r="C60" s="3"/>
      <c r="D60" s="3" t="s">
        <v>20</v>
      </c>
      <c r="E60" s="3" t="s">
        <v>21</v>
      </c>
      <c r="F60" s="3" t="s">
        <v>22</v>
      </c>
      <c r="G60" s="3" t="s">
        <v>23</v>
      </c>
      <c r="H60" s="3" t="s">
        <v>23</v>
      </c>
      <c r="I60" s="3" t="s">
        <v>24</v>
      </c>
      <c r="J60" s="3" t="s">
        <v>22</v>
      </c>
      <c r="K60" s="3" t="s">
        <v>24</v>
      </c>
      <c r="L60" s="3" t="s">
        <v>25</v>
      </c>
      <c r="M60" s="3" t="s">
        <v>25</v>
      </c>
      <c r="N60" s="3" t="s">
        <v>26</v>
      </c>
      <c r="O60" s="3" t="s">
        <v>27</v>
      </c>
      <c r="P60" s="3" t="s">
        <v>28</v>
      </c>
    </row>
    <row r="61" spans="1:16" ht="31.5" x14ac:dyDescent="0.25">
      <c r="A61" s="3">
        <v>1</v>
      </c>
      <c r="B61" s="12" t="s">
        <v>42</v>
      </c>
      <c r="C61" s="12" t="s">
        <v>29</v>
      </c>
      <c r="D61" s="3" t="s">
        <v>30</v>
      </c>
      <c r="E61" s="3">
        <v>1.4</v>
      </c>
      <c r="F61" s="3">
        <v>73</v>
      </c>
      <c r="G61" s="16">
        <f>H61*(100+10)/F61</f>
        <v>210.95890410958904</v>
      </c>
      <c r="H61" s="3">
        <v>140</v>
      </c>
      <c r="I61" s="17">
        <f>1/(H61/(10*F61))</f>
        <v>5.2142857142857144</v>
      </c>
      <c r="J61" s="3">
        <v>0</v>
      </c>
      <c r="K61" s="17">
        <f>I61-(I61/100*J61)</f>
        <v>5.2142857142857144</v>
      </c>
      <c r="L61" s="8">
        <f>380*1.35</f>
        <v>513</v>
      </c>
      <c r="M61" s="8">
        <f>E61*L61</f>
        <v>718.19999999999993</v>
      </c>
      <c r="N61" s="9">
        <f>A61/K61</f>
        <v>0.19178082191780821</v>
      </c>
      <c r="O61" s="9">
        <f>E61*N61</f>
        <v>0.26849315068493146</v>
      </c>
      <c r="P61" s="18">
        <f>O61*L61</f>
        <v>137.73698630136983</v>
      </c>
    </row>
    <row r="62" spans="1:16" ht="15.75" x14ac:dyDescent="0.25">
      <c r="A62" s="3">
        <v>1</v>
      </c>
      <c r="B62" s="12" t="s">
        <v>43</v>
      </c>
      <c r="C62" s="12" t="s">
        <v>32</v>
      </c>
      <c r="D62" s="19">
        <v>9006</v>
      </c>
      <c r="E62" s="3">
        <v>1.3</v>
      </c>
      <c r="F62" s="3">
        <v>58</v>
      </c>
      <c r="G62" s="16">
        <f>H62*100/F62</f>
        <v>86.206896551724142</v>
      </c>
      <c r="H62" s="3">
        <v>50</v>
      </c>
      <c r="I62" s="17">
        <f>1/(H62/(10*F62))</f>
        <v>11.6</v>
      </c>
      <c r="J62" s="3">
        <v>0</v>
      </c>
      <c r="K62" s="17">
        <f>I62-(I62/100*J62)</f>
        <v>11.6</v>
      </c>
      <c r="L62" s="8">
        <v>880</v>
      </c>
      <c r="M62" s="8">
        <f>E62*L62</f>
        <v>1144</v>
      </c>
      <c r="N62" s="9">
        <f>A62/K62</f>
        <v>8.6206896551724144E-2</v>
      </c>
      <c r="O62" s="9">
        <f>E62*N62</f>
        <v>0.1120689655172414</v>
      </c>
      <c r="P62" s="18">
        <f>O62*L62</f>
        <v>98.620689655172427</v>
      </c>
    </row>
    <row r="63" spans="1:16" ht="15.75" x14ac:dyDescent="0.25">
      <c r="A63" s="3"/>
      <c r="B63" s="335" t="s">
        <v>35</v>
      </c>
      <c r="C63" s="335"/>
      <c r="D63" s="335"/>
      <c r="E63" s="335"/>
      <c r="F63" s="335"/>
      <c r="G63" s="335"/>
      <c r="H63" s="3">
        <f>SUM(H61:H62)</f>
        <v>190</v>
      </c>
      <c r="I63" s="335"/>
      <c r="J63" s="335"/>
      <c r="K63" s="335"/>
      <c r="L63" s="335"/>
      <c r="M63" s="335"/>
      <c r="N63" s="335"/>
      <c r="O63" s="335"/>
      <c r="P63" s="18">
        <f>SUM(P61:P62)</f>
        <v>236.35767595654227</v>
      </c>
    </row>
    <row r="66" spans="1:16" ht="15.75" x14ac:dyDescent="0.25">
      <c r="A66" s="278" t="s">
        <v>0</v>
      </c>
      <c r="B66" s="278" t="s">
        <v>1</v>
      </c>
      <c r="C66" s="278" t="s">
        <v>2</v>
      </c>
      <c r="D66" s="278" t="s">
        <v>3</v>
      </c>
      <c r="E66" s="278" t="s">
        <v>4</v>
      </c>
      <c r="F66" s="278" t="s">
        <v>5</v>
      </c>
      <c r="G66" s="278" t="s">
        <v>6</v>
      </c>
      <c r="H66" s="278"/>
      <c r="I66" s="278"/>
      <c r="J66" s="278"/>
      <c r="K66" s="278"/>
      <c r="L66" s="278" t="s">
        <v>8</v>
      </c>
      <c r="M66" s="278" t="s">
        <v>9</v>
      </c>
      <c r="N66" s="332" t="s">
        <v>156</v>
      </c>
      <c r="O66" s="332" t="s">
        <v>156</v>
      </c>
      <c r="P66" s="338" t="s">
        <v>12</v>
      </c>
    </row>
    <row r="67" spans="1:16" x14ac:dyDescent="0.25">
      <c r="A67" s="278"/>
      <c r="B67" s="278"/>
      <c r="C67" s="278"/>
      <c r="D67" s="278"/>
      <c r="E67" s="278"/>
      <c r="F67" s="278"/>
      <c r="G67" s="278" t="s">
        <v>13</v>
      </c>
      <c r="H67" s="278" t="s">
        <v>14</v>
      </c>
      <c r="I67" s="278" t="s">
        <v>15</v>
      </c>
      <c r="J67" s="278" t="s">
        <v>16</v>
      </c>
      <c r="K67" s="278" t="s">
        <v>17</v>
      </c>
      <c r="L67" s="278"/>
      <c r="M67" s="278"/>
      <c r="N67" s="333"/>
      <c r="O67" s="333"/>
      <c r="P67" s="338"/>
    </row>
    <row r="68" spans="1:16" x14ac:dyDescent="0.25">
      <c r="A68" s="278"/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334"/>
      <c r="O68" s="334"/>
      <c r="P68" s="338"/>
    </row>
    <row r="69" spans="1:16" ht="15.75" x14ac:dyDescent="0.25">
      <c r="A69" s="3" t="s">
        <v>18</v>
      </c>
      <c r="B69" s="3" t="s">
        <v>19</v>
      </c>
      <c r="C69" s="3"/>
      <c r="D69" s="3" t="s">
        <v>20</v>
      </c>
      <c r="E69" s="3" t="s">
        <v>21</v>
      </c>
      <c r="F69" s="3" t="s">
        <v>22</v>
      </c>
      <c r="G69" s="3" t="s">
        <v>23</v>
      </c>
      <c r="H69" s="3" t="s">
        <v>23</v>
      </c>
      <c r="I69" s="3" t="s">
        <v>24</v>
      </c>
      <c r="J69" s="3" t="s">
        <v>22</v>
      </c>
      <c r="K69" s="3" t="s">
        <v>24</v>
      </c>
      <c r="L69" s="3" t="s">
        <v>25</v>
      </c>
      <c r="M69" s="3" t="s">
        <v>25</v>
      </c>
      <c r="N69" s="3" t="s">
        <v>26</v>
      </c>
      <c r="O69" s="3" t="s">
        <v>27</v>
      </c>
      <c r="P69" s="3" t="s">
        <v>28</v>
      </c>
    </row>
    <row r="70" spans="1:16" ht="15.75" x14ac:dyDescent="0.25">
      <c r="A70" s="3">
        <v>3000</v>
      </c>
      <c r="B70" s="12" t="s">
        <v>207</v>
      </c>
      <c r="C70" s="12" t="s">
        <v>29</v>
      </c>
      <c r="D70" s="3" t="s">
        <v>30</v>
      </c>
      <c r="E70" s="3">
        <v>1.36</v>
      </c>
      <c r="F70" s="3">
        <v>76</v>
      </c>
      <c r="G70" s="16">
        <f>H70*(100+10)/F70</f>
        <v>202.63157894736841</v>
      </c>
      <c r="H70" s="3">
        <v>140</v>
      </c>
      <c r="I70" s="17">
        <f>1/(H70/(10*F70))</f>
        <v>5.4285714285714288</v>
      </c>
      <c r="J70" s="3">
        <v>0</v>
      </c>
      <c r="K70" s="17">
        <f>I70-(I70/100*J70)</f>
        <v>5.4285714285714288</v>
      </c>
      <c r="L70" s="8">
        <v>650</v>
      </c>
      <c r="M70" s="8">
        <f>E70*L70</f>
        <v>884.00000000000011</v>
      </c>
      <c r="N70" s="9">
        <f>A70/K70</f>
        <v>552.63157894736844</v>
      </c>
      <c r="O70" s="9">
        <f>E70*N70</f>
        <v>751.57894736842115</v>
      </c>
      <c r="P70" s="18">
        <f>O70*L70</f>
        <v>488526.31578947377</v>
      </c>
    </row>
    <row r="71" spans="1:16" ht="15.75" x14ac:dyDescent="0.25">
      <c r="A71" s="3">
        <v>3000</v>
      </c>
      <c r="B71" s="12" t="s">
        <v>208</v>
      </c>
      <c r="C71" s="12" t="s">
        <v>32</v>
      </c>
      <c r="D71" s="19">
        <v>5024</v>
      </c>
      <c r="E71" s="3">
        <v>1.4</v>
      </c>
      <c r="F71" s="3">
        <v>62</v>
      </c>
      <c r="G71" s="16">
        <f>H71*100/F71</f>
        <v>96.774193548387103</v>
      </c>
      <c r="H71" s="3">
        <v>60</v>
      </c>
      <c r="I71" s="17">
        <f>1/(H71/(10*F71))</f>
        <v>10.333333333333334</v>
      </c>
      <c r="J71" s="3">
        <v>0</v>
      </c>
      <c r="K71" s="17">
        <f>I71-(I71/100*J71)</f>
        <v>10.333333333333334</v>
      </c>
      <c r="L71" s="8">
        <v>910</v>
      </c>
      <c r="M71" s="8">
        <f>E71*L71</f>
        <v>1274</v>
      </c>
      <c r="N71" s="9">
        <f>A71/K71</f>
        <v>290.32258064516128</v>
      </c>
      <c r="O71" s="9">
        <f>E71*N71</f>
        <v>406.45161290322579</v>
      </c>
      <c r="P71" s="18">
        <f>O71*L71</f>
        <v>369870.96774193546</v>
      </c>
    </row>
    <row r="72" spans="1:16" ht="15.75" x14ac:dyDescent="0.25">
      <c r="A72" s="3"/>
      <c r="B72" s="335" t="s">
        <v>35</v>
      </c>
      <c r="C72" s="335"/>
      <c r="D72" s="335"/>
      <c r="E72" s="335"/>
      <c r="F72" s="335"/>
      <c r="G72" s="335"/>
      <c r="H72" s="3">
        <f>SUM(H70:H71)</f>
        <v>200</v>
      </c>
      <c r="I72" s="335"/>
      <c r="J72" s="335"/>
      <c r="K72" s="335"/>
      <c r="L72" s="335"/>
      <c r="M72" s="335"/>
      <c r="N72" s="335"/>
      <c r="O72" s="335"/>
      <c r="P72" s="18">
        <f>SUM(P70:P71)</f>
        <v>858397.28353140922</v>
      </c>
    </row>
    <row r="78" spans="1:16" ht="15.75" x14ac:dyDescent="0.25">
      <c r="A78" s="326" t="s">
        <v>0</v>
      </c>
      <c r="B78" s="326" t="s">
        <v>1</v>
      </c>
      <c r="C78" s="326" t="s">
        <v>2</v>
      </c>
      <c r="D78" s="326" t="s">
        <v>3</v>
      </c>
      <c r="E78" s="326" t="s">
        <v>4</v>
      </c>
      <c r="F78" s="326" t="s">
        <v>5</v>
      </c>
      <c r="G78" s="329" t="s">
        <v>6</v>
      </c>
      <c r="H78" s="330"/>
      <c r="I78" s="329" t="s">
        <v>7</v>
      </c>
      <c r="J78" s="331"/>
      <c r="K78" s="330"/>
      <c r="L78" s="326" t="s">
        <v>8</v>
      </c>
      <c r="M78" s="332">
        <v>1111.2</v>
      </c>
      <c r="N78" s="332" t="s">
        <v>156</v>
      </c>
      <c r="O78" s="332" t="s">
        <v>156</v>
      </c>
      <c r="P78" s="319" t="s">
        <v>12</v>
      </c>
    </row>
    <row r="79" spans="1:16" x14ac:dyDescent="0.25">
      <c r="A79" s="327"/>
      <c r="B79" s="327"/>
      <c r="C79" s="327"/>
      <c r="D79" s="327"/>
      <c r="E79" s="327"/>
      <c r="F79" s="327"/>
      <c r="G79" s="326" t="s">
        <v>13</v>
      </c>
      <c r="H79" s="326" t="s">
        <v>14</v>
      </c>
      <c r="I79" s="326" t="s">
        <v>15</v>
      </c>
      <c r="J79" s="326" t="s">
        <v>16</v>
      </c>
      <c r="K79" s="326" t="s">
        <v>17</v>
      </c>
      <c r="L79" s="327"/>
      <c r="M79" s="333"/>
      <c r="N79" s="333"/>
      <c r="O79" s="333"/>
      <c r="P79" s="320"/>
    </row>
    <row r="80" spans="1:16" x14ac:dyDescent="0.25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34"/>
      <c r="N80" s="334"/>
      <c r="O80" s="334"/>
      <c r="P80" s="321"/>
    </row>
    <row r="81" spans="1:16" ht="15.75" x14ac:dyDescent="0.25">
      <c r="A81" s="2" t="s">
        <v>18</v>
      </c>
      <c r="B81" s="2" t="s">
        <v>19</v>
      </c>
      <c r="C81" s="2"/>
      <c r="D81" s="2" t="s">
        <v>20</v>
      </c>
      <c r="E81" s="2" t="s">
        <v>21</v>
      </c>
      <c r="F81" s="2" t="s">
        <v>22</v>
      </c>
      <c r="G81" s="2" t="s">
        <v>23</v>
      </c>
      <c r="H81" s="2" t="s">
        <v>23</v>
      </c>
      <c r="I81" s="2" t="s">
        <v>24</v>
      </c>
      <c r="J81" s="2" t="s">
        <v>22</v>
      </c>
      <c r="K81" s="2" t="s">
        <v>24</v>
      </c>
      <c r="L81" s="2" t="s">
        <v>25</v>
      </c>
      <c r="M81" s="3" t="s">
        <v>25</v>
      </c>
      <c r="N81" s="3" t="s">
        <v>26</v>
      </c>
      <c r="O81" s="3" t="s">
        <v>27</v>
      </c>
      <c r="P81" s="2" t="s">
        <v>28</v>
      </c>
    </row>
    <row r="82" spans="1:16" ht="15.75" x14ac:dyDescent="0.25">
      <c r="A82" s="2">
        <v>3160</v>
      </c>
      <c r="B82" s="4" t="s">
        <v>210</v>
      </c>
      <c r="C82" s="4" t="s">
        <v>211</v>
      </c>
      <c r="D82" s="2" t="s">
        <v>30</v>
      </c>
      <c r="E82" s="2">
        <v>1.6</v>
      </c>
      <c r="F82" s="2">
        <v>63</v>
      </c>
      <c r="G82" s="5">
        <f>H82*100/F82</f>
        <v>79.365079365079367</v>
      </c>
      <c r="H82" s="2">
        <v>50</v>
      </c>
      <c r="I82" s="6">
        <f>1/(H82/(10*F82))</f>
        <v>12.600000000000001</v>
      </c>
      <c r="J82" s="2">
        <v>40</v>
      </c>
      <c r="K82" s="6">
        <f>I82-(I82/100*J82)</f>
        <v>7.5600000000000014</v>
      </c>
      <c r="L82" s="7">
        <f>M82/1.6</f>
        <v>568.75</v>
      </c>
      <c r="M82" s="8">
        <v>910</v>
      </c>
      <c r="N82" s="9">
        <f>A82/K82</f>
        <v>417.98941798941792</v>
      </c>
      <c r="O82" s="8">
        <f>E82*N82</f>
        <v>668.78306878306876</v>
      </c>
      <c r="P82" s="10">
        <f>N82*M82</f>
        <v>380370.37037037028</v>
      </c>
    </row>
    <row r="83" spans="1:16" ht="31.5" x14ac:dyDescent="0.25">
      <c r="A83" s="2">
        <v>3160</v>
      </c>
      <c r="B83" s="4" t="s">
        <v>209</v>
      </c>
      <c r="C83" s="4" t="s">
        <v>32</v>
      </c>
      <c r="D83" s="11">
        <v>9006</v>
      </c>
      <c r="E83" s="2">
        <v>1.4</v>
      </c>
      <c r="F83" s="2">
        <v>62</v>
      </c>
      <c r="G83" s="5">
        <f>H83*100/F83</f>
        <v>80.645161290322577</v>
      </c>
      <c r="H83" s="2">
        <v>50</v>
      </c>
      <c r="I83" s="6">
        <f>1/(H83/(10*F83))</f>
        <v>12.4</v>
      </c>
      <c r="J83" s="2">
        <v>40</v>
      </c>
      <c r="K83" s="6">
        <f>I83-(I83/100*J83)</f>
        <v>7.44</v>
      </c>
      <c r="L83" s="7">
        <f>M83/1.4</f>
        <v>793.71428571428578</v>
      </c>
      <c r="M83" s="8">
        <f>926*1.2</f>
        <v>1111.2</v>
      </c>
      <c r="N83" s="9">
        <f>A83/K83</f>
        <v>424.73118279569889</v>
      </c>
      <c r="O83" s="9">
        <f>E83*N83</f>
        <v>594.62365591397838</v>
      </c>
      <c r="P83" s="10">
        <f>N83*M83</f>
        <v>471961.29032258061</v>
      </c>
    </row>
  </sheetData>
  <mergeCells count="178">
    <mergeCell ref="M78:M80"/>
    <mergeCell ref="N78:N80"/>
    <mergeCell ref="O78:O80"/>
    <mergeCell ref="P78:P80"/>
    <mergeCell ref="G79:G80"/>
    <mergeCell ref="H79:H80"/>
    <mergeCell ref="I79:I80"/>
    <mergeCell ref="J79:J80"/>
    <mergeCell ref="K79:K80"/>
    <mergeCell ref="A78:A80"/>
    <mergeCell ref="B78:B80"/>
    <mergeCell ref="C78:C80"/>
    <mergeCell ref="D78:D80"/>
    <mergeCell ref="E78:E80"/>
    <mergeCell ref="F78:F80"/>
    <mergeCell ref="G78:H78"/>
    <mergeCell ref="I78:K78"/>
    <mergeCell ref="L78:L80"/>
    <mergeCell ref="E2:E4"/>
    <mergeCell ref="F2:F4"/>
    <mergeCell ref="A11:A13"/>
    <mergeCell ref="B11:B13"/>
    <mergeCell ref="C11:C13"/>
    <mergeCell ref="D11:D13"/>
    <mergeCell ref="E11:E13"/>
    <mergeCell ref="F11:F13"/>
    <mergeCell ref="B8:G8"/>
    <mergeCell ref="A2:A4"/>
    <mergeCell ref="B2:B4"/>
    <mergeCell ref="C2:C4"/>
    <mergeCell ref="D2:D4"/>
    <mergeCell ref="I8:O8"/>
    <mergeCell ref="P2:P4"/>
    <mergeCell ref="G3:G4"/>
    <mergeCell ref="H3:H4"/>
    <mergeCell ref="I3:I4"/>
    <mergeCell ref="J3:J4"/>
    <mergeCell ref="K3:K4"/>
    <mergeCell ref="G2:H2"/>
    <mergeCell ref="I2:K2"/>
    <mergeCell ref="L2:L4"/>
    <mergeCell ref="M2:M4"/>
    <mergeCell ref="N2:N4"/>
    <mergeCell ref="O2:O4"/>
    <mergeCell ref="B17:G17"/>
    <mergeCell ref="I17:O17"/>
    <mergeCell ref="P11:P13"/>
    <mergeCell ref="G12:G13"/>
    <mergeCell ref="H12:H13"/>
    <mergeCell ref="I12:I13"/>
    <mergeCell ref="J12:J13"/>
    <mergeCell ref="K12:K13"/>
    <mergeCell ref="G11:H11"/>
    <mergeCell ref="I11:K11"/>
    <mergeCell ref="L11:L13"/>
    <mergeCell ref="M11:M13"/>
    <mergeCell ref="N11:N13"/>
    <mergeCell ref="O11:O13"/>
    <mergeCell ref="B26:G26"/>
    <mergeCell ref="I26:O26"/>
    <mergeCell ref="A30:A32"/>
    <mergeCell ref="B30:B32"/>
    <mergeCell ref="C30:C32"/>
    <mergeCell ref="D30:D32"/>
    <mergeCell ref="P20:P22"/>
    <mergeCell ref="G21:G22"/>
    <mergeCell ref="H21:H22"/>
    <mergeCell ref="I21:I22"/>
    <mergeCell ref="J21:J22"/>
    <mergeCell ref="K21:K22"/>
    <mergeCell ref="G20:H20"/>
    <mergeCell ref="I20:K20"/>
    <mergeCell ref="L20:L22"/>
    <mergeCell ref="M20:M22"/>
    <mergeCell ref="N20:N22"/>
    <mergeCell ref="O20:O22"/>
    <mergeCell ref="A20:A22"/>
    <mergeCell ref="B20:B22"/>
    <mergeCell ref="C20:C22"/>
    <mergeCell ref="D20:D22"/>
    <mergeCell ref="E20:E22"/>
    <mergeCell ref="F20:F22"/>
    <mergeCell ref="N30:N32"/>
    <mergeCell ref="O30:O32"/>
    <mergeCell ref="P30:P32"/>
    <mergeCell ref="G31:G32"/>
    <mergeCell ref="H31:H32"/>
    <mergeCell ref="I31:I32"/>
    <mergeCell ref="J31:J32"/>
    <mergeCell ref="K31:K32"/>
    <mergeCell ref="E30:E32"/>
    <mergeCell ref="F30:F32"/>
    <mergeCell ref="G30:H30"/>
    <mergeCell ref="I30:K30"/>
    <mergeCell ref="L30:L32"/>
    <mergeCell ref="M30:M32"/>
    <mergeCell ref="B36:G36"/>
    <mergeCell ref="I36:O36"/>
    <mergeCell ref="A39:A41"/>
    <mergeCell ref="B39:B41"/>
    <mergeCell ref="C39:C41"/>
    <mergeCell ref="D39:D41"/>
    <mergeCell ref="E39:E41"/>
    <mergeCell ref="F39:F41"/>
    <mergeCell ref="G39:H39"/>
    <mergeCell ref="I39:K39"/>
    <mergeCell ref="L39:L41"/>
    <mergeCell ref="M39:M41"/>
    <mergeCell ref="N39:N41"/>
    <mergeCell ref="O39:O41"/>
    <mergeCell ref="P39:P41"/>
    <mergeCell ref="G40:G41"/>
    <mergeCell ref="H40:H41"/>
    <mergeCell ref="I40:I41"/>
    <mergeCell ref="J40:J41"/>
    <mergeCell ref="K40:K41"/>
    <mergeCell ref="B45:G45"/>
    <mergeCell ref="I45:O45"/>
    <mergeCell ref="A48:A50"/>
    <mergeCell ref="B48:B50"/>
    <mergeCell ref="C48:C50"/>
    <mergeCell ref="D48:D50"/>
    <mergeCell ref="E48:E50"/>
    <mergeCell ref="F48:F50"/>
    <mergeCell ref="G48:H48"/>
    <mergeCell ref="I48:K48"/>
    <mergeCell ref="L48:L50"/>
    <mergeCell ref="M48:M50"/>
    <mergeCell ref="N48:N50"/>
    <mergeCell ref="O48:O50"/>
    <mergeCell ref="P48:P50"/>
    <mergeCell ref="G49:G50"/>
    <mergeCell ref="H49:H50"/>
    <mergeCell ref="I49:I50"/>
    <mergeCell ref="J49:J50"/>
    <mergeCell ref="K49:K50"/>
    <mergeCell ref="B54:G54"/>
    <mergeCell ref="I54:O54"/>
    <mergeCell ref="A57:A59"/>
    <mergeCell ref="B57:B59"/>
    <mergeCell ref="C57:C59"/>
    <mergeCell ref="D57:D59"/>
    <mergeCell ref="E57:E59"/>
    <mergeCell ref="F57:F59"/>
    <mergeCell ref="G57:H57"/>
    <mergeCell ref="I57:K57"/>
    <mergeCell ref="B63:G63"/>
    <mergeCell ref="I63:O63"/>
    <mergeCell ref="L57:L59"/>
    <mergeCell ref="M57:M59"/>
    <mergeCell ref="N57:N59"/>
    <mergeCell ref="O57:O59"/>
    <mergeCell ref="P57:P59"/>
    <mergeCell ref="G58:G59"/>
    <mergeCell ref="H58:H59"/>
    <mergeCell ref="I58:I59"/>
    <mergeCell ref="J58:J59"/>
    <mergeCell ref="K58:K59"/>
    <mergeCell ref="A66:A68"/>
    <mergeCell ref="B66:B68"/>
    <mergeCell ref="C66:C68"/>
    <mergeCell ref="D66:D68"/>
    <mergeCell ref="E66:E68"/>
    <mergeCell ref="F66:F68"/>
    <mergeCell ref="G66:H66"/>
    <mergeCell ref="I66:K66"/>
    <mergeCell ref="L66:L68"/>
    <mergeCell ref="B72:G72"/>
    <mergeCell ref="I72:O72"/>
    <mergeCell ref="M66:M68"/>
    <mergeCell ref="N66:N68"/>
    <mergeCell ref="O66:O68"/>
    <mergeCell ref="P66:P68"/>
    <mergeCell ref="G67:G68"/>
    <mergeCell ref="H67:H68"/>
    <mergeCell ref="I67:I68"/>
    <mergeCell ref="J67:J68"/>
    <mergeCell ref="K67:K6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38</vt:i4>
      </vt:variant>
      <vt:variant>
        <vt:lpstr>Именованные диапазоны</vt:lpstr>
      </vt:variant>
      <vt:variant>
        <vt:i4>1</vt:i4>
      </vt:variant>
    </vt:vector>
  </HeadingPairs>
  <TitlesOfParts>
    <vt:vector size="39" baseType="lpstr">
      <vt:lpstr>Лист14</vt:lpstr>
      <vt:lpstr>АКЗ</vt:lpstr>
      <vt:lpstr>ГФ и Деколак</vt:lpstr>
      <vt:lpstr>ЭКСТРА</vt:lpstr>
      <vt:lpstr>Лист12</vt:lpstr>
      <vt:lpstr>ТОАЗ</vt:lpstr>
      <vt:lpstr>С цинком</vt:lpstr>
      <vt:lpstr>СК ПРОЕКТ (2)</vt:lpstr>
      <vt:lpstr>Лист13</vt:lpstr>
      <vt:lpstr>Антикорсервис</vt:lpstr>
      <vt:lpstr>pENTRICOR и Литум</vt:lpstr>
      <vt:lpstr>Акрус и Литум</vt:lpstr>
      <vt:lpstr>БАСА и Blank и тендер</vt:lpstr>
      <vt:lpstr>PIROCOR</vt:lpstr>
      <vt:lpstr>Аналоги</vt:lpstr>
      <vt:lpstr>РВС</vt:lpstr>
      <vt:lpstr>ВМП ЛИТУМ БЛАНК</vt:lpstr>
      <vt:lpstr>Сулакавер Бланк Литум</vt:lpstr>
      <vt:lpstr>ТСП ТМП</vt:lpstr>
      <vt:lpstr>Антикор</vt:lpstr>
      <vt:lpstr>СК ПРОЕКТ</vt:lpstr>
      <vt:lpstr>ВНИКТИ</vt:lpstr>
      <vt:lpstr>Лист1</vt:lpstr>
      <vt:lpstr>Лист8</vt:lpstr>
      <vt:lpstr>Лист6</vt:lpstr>
      <vt:lpstr>Лист4</vt:lpstr>
      <vt:lpstr>Лист2</vt:lpstr>
      <vt:lpstr>Лист10</vt:lpstr>
      <vt:lpstr>Лист11</vt:lpstr>
      <vt:lpstr>Лист3</vt:lpstr>
      <vt:lpstr>Лист5</vt:lpstr>
      <vt:lpstr>ЛИСТ АКЗ</vt:lpstr>
      <vt:lpstr>Лист7</vt:lpstr>
      <vt:lpstr>ЛИСТ ОГЗ </vt:lpstr>
      <vt:lpstr>Огз ЭФФА ЭП 150</vt:lpstr>
      <vt:lpstr>ОГЗ ДЕКО ОГРАКС</vt:lpstr>
      <vt:lpstr>Сравнение</vt:lpstr>
      <vt:lpstr>Лист9</vt:lpstr>
      <vt:lpstr>АКЗ!Область_печати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LkmResurs</dc:creator>
  <cp:lastModifiedBy>Евгений В.</cp:lastModifiedBy>
  <cp:revision>1</cp:revision>
  <cp:lastPrinted>2026-08-21T06:40:03Z</cp:lastPrinted>
  <dcterms:created xsi:type="dcterms:W3CDTF">2015-06-05T18:19:34Z</dcterms:created>
  <dcterms:modified xsi:type="dcterms:W3CDTF">2026-09-01T08:46:41Z</dcterms:modified>
</cp:coreProperties>
</file>