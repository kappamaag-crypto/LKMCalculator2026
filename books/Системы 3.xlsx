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WN\yandexDisk\SPKEFFA\YandexDisk\Рабочая СПК ЭФФА\3. Роснефть\Обновление 2026\"/>
    </mc:Choice>
  </mc:AlternateContent>
  <xr:revisionPtr revIDLastSave="0" documentId="13_ncr:1_{7C401E03-6132-4D9F-8E61-8D59624F6112}" xr6:coauthVersionLast="47" xr6:coauthVersionMax="47" xr10:uidLastSave="{00000000-0000-0000-0000-000000000000}"/>
  <bookViews>
    <workbookView xWindow="-105" yWindow="0" windowWidth="14610" windowHeight="15705" activeTab="1" xr2:uid="{00000000-000D-0000-FFFF-FFFF00000000}"/>
  </bookViews>
  <sheets>
    <sheet name="АКЗ" sheetId="2" r:id="rId1"/>
    <sheet name="ОГЗ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" i="1" l="1"/>
  <c r="X10" i="1"/>
  <c r="X11" i="1"/>
  <c r="X12" i="1"/>
  <c r="X13" i="1"/>
  <c r="X14" i="1"/>
  <c r="X15" i="1"/>
  <c r="X8" i="1"/>
  <c r="U9" i="1"/>
  <c r="U10" i="1"/>
  <c r="U11" i="1"/>
  <c r="U12" i="1"/>
  <c r="U13" i="1"/>
  <c r="U14" i="1"/>
  <c r="U15" i="1"/>
  <c r="U8" i="1"/>
  <c r="T19" i="2"/>
  <c r="V8" i="2" l="1"/>
  <c r="V9" i="2"/>
  <c r="V10" i="2"/>
  <c r="V11" i="2"/>
  <c r="V12" i="2"/>
  <c r="V13" i="2"/>
  <c r="V15" i="2"/>
  <c r="V16" i="2"/>
  <c r="V17" i="2"/>
  <c r="V18" i="2"/>
  <c r="U18" i="2"/>
  <c r="T8" i="2"/>
  <c r="T9" i="2"/>
  <c r="T10" i="2"/>
  <c r="T11" i="2"/>
  <c r="T12" i="2"/>
  <c r="T13" i="2"/>
  <c r="T14" i="2"/>
  <c r="T15" i="2"/>
  <c r="T16" i="2"/>
  <c r="T17" i="2"/>
  <c r="T18" i="2"/>
</calcChain>
</file>

<file path=xl/sharedStrings.xml><?xml version="1.0" encoding="utf-8"?>
<sst xmlns="http://schemas.openxmlformats.org/spreadsheetml/2006/main" count="318" uniqueCount="90">
  <si>
    <t>№ п/п</t>
  </si>
  <si>
    <t>Приведен-ная толщина металла, мм</t>
  </si>
  <si>
    <t>Грунтовочный слой</t>
  </si>
  <si>
    <t>ОГЗ</t>
  </si>
  <si>
    <t>Финишный слой</t>
  </si>
  <si>
    <t>Марка</t>
  </si>
  <si>
    <t>R90</t>
  </si>
  <si>
    <t>R120</t>
  </si>
  <si>
    <t>вспучивающийся</t>
  </si>
  <si>
    <t>конструктивный</t>
  </si>
  <si>
    <t>Расход системы ОГЗ, кг/м2</t>
  </si>
  <si>
    <t>Марка  теплозащитного слоя</t>
  </si>
  <si>
    <t>Марка огнезащитного слоя</t>
  </si>
  <si>
    <t>Грунт</t>
  </si>
  <si>
    <t>Теплозащита</t>
  </si>
  <si>
    <t xml:space="preserve">Огнезащита </t>
  </si>
  <si>
    <t>Финиш</t>
  </si>
  <si>
    <t>Толщина, мкм</t>
  </si>
  <si>
    <t>Наименование производителя ЛКМ</t>
  </si>
  <si>
    <t>Плотность материала, г/см3</t>
  </si>
  <si>
    <t>Объемный сухой остаток материала, %</t>
  </si>
  <si>
    <t>Теоретический расход, кг/м2</t>
  </si>
  <si>
    <t>Протокол климатика</t>
  </si>
  <si>
    <t>Сертификат ЕАС обязательный</t>
  </si>
  <si>
    <t>Добровольный сертификат на УВГ</t>
  </si>
  <si>
    <t>Тип огнезащитного материала</t>
  </si>
  <si>
    <t>Система покрытия</t>
  </si>
  <si>
    <t>Условия эксплуатации (С3, С4, С5, СХ)</t>
  </si>
  <si>
    <t>Прогнозный срок службы, лет</t>
  </si>
  <si>
    <t>Плотность материалов, г/см3</t>
  </si>
  <si>
    <t>объемный сухой остаток материала каждого слоя, %</t>
  </si>
  <si>
    <t>теоретический расход, кг/м2</t>
  </si>
  <si>
    <t>Срок действия протокола</t>
  </si>
  <si>
    <t>Условия применения*</t>
  </si>
  <si>
    <t>Промежуточный слой</t>
  </si>
  <si>
    <t>Наименование материала</t>
  </si>
  <si>
    <t>Толщина слоя</t>
  </si>
  <si>
    <t>Тип материала</t>
  </si>
  <si>
    <t>Перечень рекомендуемых к применению систем АКЗ  при строительстве объектов нефтепереработки и нефтехимии ПАО "НК "Роснефть"</t>
  </si>
  <si>
    <t>Перечень рекомендуемых к применению систем ОГЗ  при строительстве объектов нефтепереработки и нефтехимии  ПАО "НК "Роснефть"</t>
  </si>
  <si>
    <t>Максимальный предел огнестойкости</t>
  </si>
  <si>
    <t xml:space="preserve">Сейсмо сертификат </t>
  </si>
  <si>
    <t>*- Условия применения покрытия (Наружнее, Внутренне(электропроводные, изолирующие; светлые,темные нефтепродукты, стойкость к кислотам, щелочам ит.д.), Термостойкая (на какую температуру)</t>
  </si>
  <si>
    <t>ООО "Колоридо"</t>
  </si>
  <si>
    <t>Blank Zinc</t>
  </si>
  <si>
    <t>EP</t>
  </si>
  <si>
    <t>EPZ</t>
  </si>
  <si>
    <t>Blank MIO</t>
  </si>
  <si>
    <t>EP-MIO</t>
  </si>
  <si>
    <t>-</t>
  </si>
  <si>
    <t>PU</t>
  </si>
  <si>
    <t>Эмаль Blank Finish</t>
  </si>
  <si>
    <t>Грунт-эмаль Blank Tank</t>
  </si>
  <si>
    <t>Грунт-эмаль Blank HP</t>
  </si>
  <si>
    <t>Грунт-эмаль Blank Universal</t>
  </si>
  <si>
    <t xml:space="preserve"> Грунт-эмаль Blank Tank</t>
  </si>
  <si>
    <t>C2, C3, C4, УХЛ1</t>
  </si>
  <si>
    <t>C2, C3, C4,С5, УХЛ1</t>
  </si>
  <si>
    <t>Внутреннее покрытие, сильноагрессивные среды</t>
  </si>
  <si>
    <t>lm1</t>
  </si>
  <si>
    <t>C2 - C5</t>
  </si>
  <si>
    <t>lm2</t>
  </si>
  <si>
    <t>lm1, lm2</t>
  </si>
  <si>
    <t>C2 - C5, УХЛ1, ХЛ1</t>
  </si>
  <si>
    <t>УХЛ 1, тип II не менее 10 лет</t>
  </si>
  <si>
    <t>УХЛ 1, тип II не менее 15 лет</t>
  </si>
  <si>
    <t>не менее 10 лет</t>
  </si>
  <si>
    <t>Более 15 лет</t>
  </si>
  <si>
    <t>УХЛ1, ХЛ1, срок службы более 25 лет.</t>
  </si>
  <si>
    <t>C5 до 25 лет</t>
  </si>
  <si>
    <t>До 25 лет</t>
  </si>
  <si>
    <t xml:space="preserve"> УХЛ1, ХЛ1, срок службы более 22 лет.</t>
  </si>
  <si>
    <t xml:space="preserve"> УХЛ1, ХЛ1, срок службы более 25 лет.</t>
  </si>
  <si>
    <t xml:space="preserve"> наружная поверхность  м/к и емкостного ооборудования</t>
  </si>
  <si>
    <t>Внутреняня поверхность. Для Светлых и темных нефтепродуктов.Стойкость к Растворам кислот, щелочей, солей</t>
  </si>
  <si>
    <t>Наружная поверхность. Погружение в пресную воду</t>
  </si>
  <si>
    <t>Наружная поверхность. Погружение в морскую воду</t>
  </si>
  <si>
    <t>Наружная поверхность. Погружение в пресную воду, заглуюдение в почву</t>
  </si>
  <si>
    <t>20 лет</t>
  </si>
  <si>
    <t>ОМ1, тип III</t>
  </si>
  <si>
    <t>ООО "ЭФФА"</t>
  </si>
  <si>
    <t>ЭФФА ЭП-150</t>
  </si>
  <si>
    <t>Литапрайм Экспресс (Ф/МИО)</t>
  </si>
  <si>
    <t>Литакоут Классик (Фрост)</t>
  </si>
  <si>
    <t>ЭФФА КТЭ</t>
  </si>
  <si>
    <t>R45</t>
  </si>
  <si>
    <t>R60</t>
  </si>
  <si>
    <t>1±0,1</t>
  </si>
  <si>
    <t>1±0,105</t>
  </si>
  <si>
    <t>95±3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</si>
</sst>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_₽_-;\-* #,##0.00\ _₽_-;_-* &quot;-&quot;??\ _₽_-;_-@_-"/>
    <numFmt numFmtId="165" formatCode="0.000"/>
    <numFmt numFmtId="166" formatCode="0.0"/>
    <numFmt numFmtId="170" formatCode="0.00000"/>
    <numFmt numFmtId="171" formatCode="0.0000"/>
    <numFmt numFmtId="175" formatCode="_-* #,##0.00_-;\-* #,##0.00_-;_-* &quot;-&quot;??_-;_-@_-"/>
    <numFmt numFmtId="176" formatCode="_-* #,##0.00\ _₽_-;\-* #,##0.00\ _₽_-;_-* \-??\ _₽_-;_-@_-"/>
    <numFmt numFmtId="177" formatCode="_-* #,##0.00_-;\-* #,##0.00_-;_-* &quot;-&quot;&quot;?&quot;&quot;?&quot;_-;_-@_-"/>
  </numFmts>
  <fonts count="2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2"/>
      <color indexed="8"/>
      <name val="Calibri"/>
      <family val="2"/>
    </font>
    <font>
      <sz val="12"/>
      <color indexed="8"/>
      <name val="Calibri"/>
      <family val="2"/>
      <charset val="204"/>
    </font>
    <font>
      <sz val="11"/>
      <color theme="1"/>
      <name val="Calibri"/>
      <scheme val="minor"/>
    </font>
    <font>
      <sz val="10"/>
      <name val="Arial"/>
    </font>
    <font>
      <sz val="12"/>
      <color indexed="64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</font>
    <font>
      <sz val="12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0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4">
    <xf numFmtId="0" fontId="0" fillId="0" borderId="0"/>
    <xf numFmtId="0" fontId="2" fillId="0" borderId="0"/>
    <xf numFmtId="0" fontId="3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Protection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8" fillId="0" borderId="0" applyNumberFormat="0" applyFill="0" applyBorder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Protection="0"/>
    <xf numFmtId="164" fontId="6" fillId="0" borderId="0" applyFont="0" applyFill="0" applyBorder="0" applyProtection="0"/>
    <xf numFmtId="164" fontId="6" fillId="0" borderId="0" applyFont="0" applyFill="0" applyBorder="0" applyProtection="0"/>
    <xf numFmtId="164" fontId="6" fillId="0" borderId="0" applyFont="0" applyFill="0" applyBorder="0" applyProtection="0"/>
    <xf numFmtId="164" fontId="6" fillId="0" borderId="0" applyFont="0" applyFill="0" applyBorder="0" applyProtection="0"/>
    <xf numFmtId="164" fontId="6" fillId="0" borderId="0" applyFont="0" applyFill="0" applyBorder="0" applyProtection="0"/>
    <xf numFmtId="164" fontId="6" fillId="0" borderId="0" applyFont="0" applyFill="0" applyBorder="0" applyProtection="0"/>
    <xf numFmtId="164" fontId="6" fillId="0" borderId="0" applyFont="0" applyFill="0" applyBorder="0" applyProtection="0"/>
    <xf numFmtId="0" fontId="9" fillId="0" borderId="0"/>
    <xf numFmtId="0" fontId="10" fillId="0" borderId="0"/>
    <xf numFmtId="0" fontId="11" fillId="0" borderId="0"/>
    <xf numFmtId="0" fontId="1" fillId="0" borderId="0"/>
    <xf numFmtId="0" fontId="12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" fillId="0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12" fillId="0" borderId="0" applyBorder="0" applyProtection="0"/>
    <xf numFmtId="176" fontId="12" fillId="0" borderId="0" applyBorder="0" applyProtection="0"/>
    <xf numFmtId="176" fontId="12" fillId="0" borderId="0" applyBorder="0" applyProtection="0"/>
    <xf numFmtId="176" fontId="12" fillId="0" borderId="0" applyBorder="0" applyProtection="0"/>
    <xf numFmtId="176" fontId="12" fillId="0" borderId="0" applyBorder="0" applyProtection="0"/>
    <xf numFmtId="176" fontId="12" fillId="0" borderId="0" applyBorder="0" applyProtection="0"/>
    <xf numFmtId="176" fontId="12" fillId="0" borderId="0" applyBorder="0" applyProtection="0"/>
    <xf numFmtId="176" fontId="12" fillId="0" borderId="0" applyBorder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Protection="0"/>
    <xf numFmtId="0" fontId="1" fillId="0" borderId="0"/>
    <xf numFmtId="164" fontId="1" fillId="0" borderId="0" applyFont="0" applyFill="0" applyBorder="0" applyProtection="0"/>
    <xf numFmtId="164" fontId="1" fillId="0" borderId="0" applyFont="0" applyFill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Protection="0"/>
    <xf numFmtId="164" fontId="1" fillId="0" borderId="0" applyFont="0" applyFill="0" applyBorder="0" applyProtection="0"/>
    <xf numFmtId="0" fontId="1" fillId="0" borderId="0"/>
    <xf numFmtId="0" fontId="1" fillId="0" borderId="0"/>
    <xf numFmtId="0" fontId="20" fillId="0" borderId="0" applyNumberFormat="0" applyFill="0" applyBorder="0" applyProtection="0"/>
    <xf numFmtId="0" fontId="1" fillId="0" borderId="0"/>
    <xf numFmtId="164" fontId="1" fillId="0" borderId="0" applyFont="0" applyFill="0" applyBorder="0" applyProtection="0"/>
    <xf numFmtId="164" fontId="1" fillId="0" borderId="0" applyFont="0" applyFill="0" applyBorder="0" applyProtection="0"/>
    <xf numFmtId="0" fontId="1" fillId="0" borderId="0"/>
    <xf numFmtId="0" fontId="1" fillId="0" borderId="0"/>
    <xf numFmtId="0" fontId="3" fillId="0" borderId="0"/>
    <xf numFmtId="0" fontId="1" fillId="0" borderId="0"/>
    <xf numFmtId="164" fontId="1" fillId="0" borderId="0" applyFont="0" applyFill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80">
    <xf numFmtId="0" fontId="0" fillId="0" borderId="0" xfId="0"/>
    <xf numFmtId="0" fontId="0" fillId="0" borderId="0" xfId="0"/>
    <xf numFmtId="2" fontId="0" fillId="0" borderId="0" xfId="0" applyNumberFormat="1"/>
    <xf numFmtId="0" fontId="0" fillId="0" borderId="0" xfId="0"/>
    <xf numFmtId="165" fontId="0" fillId="0" borderId="0" xfId="0" applyNumberFormat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" xfId="48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16" fillId="0" borderId="1" xfId="1" applyNumberFormat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166" fontId="14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3" fillId="0" borderId="1" xfId="48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13" fillId="0" borderId="2" xfId="48" applyFont="1" applyBorder="1" applyAlignment="1">
      <alignment horizontal="center" vertical="center" wrapText="1"/>
    </xf>
    <xf numFmtId="0" fontId="13" fillId="0" borderId="4" xfId="48" applyFont="1" applyBorder="1" applyAlignment="1">
      <alignment horizontal="center" vertical="center" wrapText="1"/>
    </xf>
    <xf numFmtId="0" fontId="13" fillId="0" borderId="3" xfId="48" applyFont="1" applyBorder="1" applyAlignment="1">
      <alignment horizontal="center" vertical="center" wrapText="1"/>
    </xf>
    <xf numFmtId="0" fontId="13" fillId="0" borderId="5" xfId="48" applyFont="1" applyBorder="1" applyAlignment="1">
      <alignment horizontal="center" vertical="center" wrapText="1"/>
    </xf>
    <xf numFmtId="0" fontId="13" fillId="0" borderId="6" xfId="48" applyFont="1" applyBorder="1" applyAlignment="1">
      <alignment horizontal="center" vertical="center" wrapText="1"/>
    </xf>
    <xf numFmtId="0" fontId="13" fillId="0" borderId="7" xfId="48" applyFont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3" fillId="2" borderId="2" xfId="48" applyFont="1" applyFill="1" applyBorder="1" applyAlignment="1">
      <alignment horizontal="center" vertical="center" wrapText="1"/>
    </xf>
    <xf numFmtId="0" fontId="13" fillId="2" borderId="4" xfId="48" applyFont="1" applyFill="1" applyBorder="1" applyAlignment="1">
      <alignment horizontal="center" vertical="center" wrapText="1"/>
    </xf>
    <xf numFmtId="0" fontId="13" fillId="2" borderId="3" xfId="48" applyFont="1" applyFill="1" applyBorder="1" applyAlignment="1">
      <alignment horizontal="center" vertical="center" wrapText="1"/>
    </xf>
    <xf numFmtId="0" fontId="13" fillId="3" borderId="1" xfId="48" applyFont="1" applyFill="1" applyBorder="1" applyAlignment="1">
      <alignment horizontal="center" vertical="center" wrapText="1"/>
    </xf>
    <xf numFmtId="0" fontId="13" fillId="0" borderId="1" xfId="48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2" borderId="1" xfId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22" fillId="0" borderId="1" xfId="13" applyFont="1" applyFill="1" applyBorder="1" applyAlignment="1">
      <alignment horizontal="center" vertical="center" wrapText="1"/>
    </xf>
    <xf numFmtId="0" fontId="23" fillId="0" borderId="0" xfId="0" applyFont="1"/>
    <xf numFmtId="0" fontId="14" fillId="0" borderId="1" xfId="11" applyFont="1" applyBorder="1" applyAlignment="1">
      <alignment horizontal="center" vertical="center" wrapText="1"/>
    </xf>
    <xf numFmtId="2" fontId="23" fillId="0" borderId="0" xfId="0" applyNumberFormat="1" applyFont="1"/>
    <xf numFmtId="0" fontId="14" fillId="0" borderId="1" xfId="0" applyFont="1" applyBorder="1" applyAlignment="1">
      <alignment horizontal="center" vertical="center" wrapText="1"/>
    </xf>
    <xf numFmtId="171" fontId="0" fillId="0" borderId="0" xfId="0" applyNumberFormat="1"/>
    <xf numFmtId="0" fontId="16" fillId="0" borderId="0" xfId="0" applyFont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70" fontId="0" fillId="0" borderId="0" xfId="0" applyNumberFormat="1"/>
    <xf numFmtId="14" fontId="0" fillId="2" borderId="1" xfId="0" applyNumberFormat="1" applyFill="1" applyBorder="1" applyAlignment="1">
      <alignment horizontal="center" vertical="center"/>
    </xf>
    <xf numFmtId="165" fontId="23" fillId="0" borderId="0" xfId="0" applyNumberFormat="1" applyFont="1"/>
    <xf numFmtId="14" fontId="0" fillId="2" borderId="1" xfId="0" applyNumberFormat="1" applyFill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14" fontId="21" fillId="2" borderId="1" xfId="48" applyNumberFormat="1" applyFont="1" applyFill="1" applyBorder="1" applyAlignment="1">
      <alignment horizontal="center" vertical="center" wrapText="1"/>
    </xf>
    <xf numFmtId="0" fontId="22" fillId="0" borderId="1" xfId="13" applyFont="1" applyFill="1" applyBorder="1" applyAlignment="1">
      <alignment horizontal="center" vertical="center" wrapText="1"/>
    </xf>
    <xf numFmtId="14" fontId="21" fillId="2" borderId="1" xfId="48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374">
    <cellStyle name="Обычный" xfId="0" builtinId="0"/>
    <cellStyle name="Обычный 10" xfId="44" xr:uid="{00000000-0005-0000-0000-000001000000}"/>
    <cellStyle name="Обычный 10 2" xfId="244" xr:uid="{92CFDAF5-F9E0-4124-8E08-063AC551847B}"/>
    <cellStyle name="Обычный 11" xfId="45" xr:uid="{00000000-0005-0000-0000-000002000000}"/>
    <cellStyle name="Обычный 11 2" xfId="270" xr:uid="{E1F6CBFE-C1A1-4A25-9E04-CA4B28AECFE4}"/>
    <cellStyle name="Обычный 12" xfId="49" xr:uid="{00000000-0005-0000-0000-000003000000}"/>
    <cellStyle name="Обычный 13" xfId="48" xr:uid="{00000000-0005-0000-0000-000004000000}"/>
    <cellStyle name="Обычный 2" xfId="3" xr:uid="{00000000-0005-0000-0000-000005000000}"/>
    <cellStyle name="Обычный 2 10" xfId="172" xr:uid="{CB59972C-01AF-4FA2-AA11-C403662D3A0B}"/>
    <cellStyle name="Обычный 2 11" xfId="196" xr:uid="{DC470679-0DF1-4446-BD84-063DCB22E455}"/>
    <cellStyle name="Обычный 2 12" xfId="220" xr:uid="{83ADFBBB-8702-4912-8DBC-88E1605A2977}"/>
    <cellStyle name="Обычный 2 13" xfId="246" xr:uid="{96A2AB5A-F66A-4D7D-9B15-5AB00E8B6436}"/>
    <cellStyle name="Обычный 2 14" xfId="274" xr:uid="{2010EFBA-D178-4F34-B40A-99E67E7EC4E5}"/>
    <cellStyle name="Обычный 2 15" xfId="298" xr:uid="{DB2016EA-C0F5-44F1-A62E-4574635FF792}"/>
    <cellStyle name="Обычный 2 16" xfId="323" xr:uid="{A8D88D06-3205-4FCC-9D14-84D259A9F7D9}"/>
    <cellStyle name="Обычный 2 17" xfId="348" xr:uid="{5EA01107-BB93-4125-BDC2-680D9321EF60}"/>
    <cellStyle name="Обычный 2 18" xfId="50" xr:uid="{98892C92-BAFF-413B-87F0-711AEE5EB95E}"/>
    <cellStyle name="Обычный 2 2" xfId="11" xr:uid="{00000000-0005-0000-0000-000006000000}"/>
    <cellStyle name="Обычный 2 2 10" xfId="280" xr:uid="{F462C82C-E6CB-497D-B12C-D5A261DBD5F7}"/>
    <cellStyle name="Обычный 2 2 11" xfId="304" xr:uid="{73ABE561-F81D-47E6-BAB4-AADD298E3E7E}"/>
    <cellStyle name="Обычный 2 2 12" xfId="329" xr:uid="{015ADDB8-868A-492D-BE24-3E5E3ECA45E2}"/>
    <cellStyle name="Обычный 2 2 13" xfId="354" xr:uid="{5A04330E-4B07-4A2A-A62F-B1BF728DC19F}"/>
    <cellStyle name="Обычный 2 2 14" xfId="51" xr:uid="{12EB0A46-97C4-462F-B63B-D181BC76E6AE}"/>
    <cellStyle name="Обычный 2 2 2" xfId="18" xr:uid="{00000000-0005-0000-0000-000007000000}"/>
    <cellStyle name="Обычный 2 2 2 2" xfId="81" xr:uid="{5752DE0D-7C45-469E-98B7-B7E4E457F913}"/>
    <cellStyle name="Обычный 2 2 3" xfId="113" xr:uid="{27081A57-7420-40B4-856E-37126AFD97CC}"/>
    <cellStyle name="Обычный 2 2 4" xfId="12" xr:uid="{00000000-0005-0000-0000-000008000000}"/>
    <cellStyle name="Обычный 2 2 4 2" xfId="272" xr:uid="{0CA2D367-3259-4BCF-A52D-ACBA02C60915}"/>
    <cellStyle name="Обычный 2 2 4 3" xfId="372" xr:uid="{D83743F2-867F-4CCB-BE7A-9BEC9AE8CE80}"/>
    <cellStyle name="Обычный 2 2 5" xfId="154" xr:uid="{65BC2753-3431-4CB4-8AF0-2A7AF09D990D}"/>
    <cellStyle name="Обычный 2 2 6" xfId="178" xr:uid="{71C10B4C-C7E6-49B2-B0F3-D231404CAFDE}"/>
    <cellStyle name="Обычный 2 2 7" xfId="202" xr:uid="{9FFABE62-4E99-4824-8766-E072F68DDAAC}"/>
    <cellStyle name="Обычный 2 2 8" xfId="226" xr:uid="{D10E0B65-6360-4CEE-B943-CE7BCF088EC3}"/>
    <cellStyle name="Обычный 2 2 9" xfId="252" xr:uid="{19856F8C-774A-4E38-AA9D-CDB8FB2FE26E}"/>
    <cellStyle name="Обычный 2 3" xfId="19" xr:uid="{00000000-0005-0000-0000-000009000000}"/>
    <cellStyle name="Обычный 2 3 10" xfId="286" xr:uid="{A49D4415-D00F-41FC-8B69-0B5ACEAEC68B}"/>
    <cellStyle name="Обычный 2 3 11" xfId="310" xr:uid="{40081A22-EA73-424B-9E5E-0AEA16F8E346}"/>
    <cellStyle name="Обычный 2 3 12" xfId="335" xr:uid="{12BDDABC-0A6E-4862-9FD3-48E5BD386E6C}"/>
    <cellStyle name="Обычный 2 3 13" xfId="360" xr:uid="{3B302DF0-9849-483D-BB86-EB5F3839E3CF}"/>
    <cellStyle name="Обычный 2 3 14" xfId="52" xr:uid="{D8B57A11-5218-49E0-BC83-57220B368DFA}"/>
    <cellStyle name="Обычный 2 3 2" xfId="87" xr:uid="{C85996A1-823B-4007-BE5D-E7FA4D62D567}"/>
    <cellStyle name="Обычный 2 3 3" xfId="107" xr:uid="{E475DD62-A608-422C-8908-7D302C8ADE72}"/>
    <cellStyle name="Обычный 2 3 4" xfId="136" xr:uid="{FBC839B7-39A2-4E66-8312-30E2954F4934}"/>
    <cellStyle name="Обычный 2 3 5" xfId="160" xr:uid="{2AFFFBF6-4E6F-4BA9-ACF9-5D8493C4F1DA}"/>
    <cellStyle name="Обычный 2 3 6" xfId="184" xr:uid="{9CF8E10D-9DE4-4B2A-84A4-673385EE5F54}"/>
    <cellStyle name="Обычный 2 3 7" xfId="208" xr:uid="{8C561127-FDE6-45EC-ACFE-702E5CADC076}"/>
    <cellStyle name="Обычный 2 3 8" xfId="232" xr:uid="{1F08A0C8-1EF1-4620-9CDB-FFBB93147373}"/>
    <cellStyle name="Обычный 2 3 9" xfId="258" xr:uid="{ED22FCD5-69E9-4842-BC50-0D5A4377E80B}"/>
    <cellStyle name="Обычный 2 4" xfId="20" xr:uid="{00000000-0005-0000-0000-00000A000000}"/>
    <cellStyle name="Обычный 2 4 10" xfId="292" xr:uid="{3622701A-BB8E-470A-9B4D-040B1213E1C8}"/>
    <cellStyle name="Обычный 2 4 11" xfId="316" xr:uid="{3D415D3A-4E2E-4B8D-819C-E152B924B34B}"/>
    <cellStyle name="Обычный 2 4 12" xfId="341" xr:uid="{31D2ED35-7504-437E-923C-8A6447AB3DD2}"/>
    <cellStyle name="Обычный 2 4 13" xfId="366" xr:uid="{816FCABD-0E4C-44E6-9F44-B6A896AFF432}"/>
    <cellStyle name="Обычный 2 4 14" xfId="53" xr:uid="{7AAD104C-AB1D-4E88-B783-B44F1134E2E1}"/>
    <cellStyle name="Обычный 2 4 2" xfId="93" xr:uid="{5AA1F514-9CA8-48DD-A93D-CA2632C74CB9}"/>
    <cellStyle name="Обычный 2 4 3" xfId="122" xr:uid="{45B43B0C-EA73-4F98-BE35-99DFE40B677D}"/>
    <cellStyle name="Обычный 2 4 4" xfId="142" xr:uid="{0D3865E9-C3C0-447B-AFD2-2ECC1ED8778B}"/>
    <cellStyle name="Обычный 2 4 5" xfId="166" xr:uid="{14920002-CBEF-47E0-B4C3-BB25AD303955}"/>
    <cellStyle name="Обычный 2 4 6" xfId="190" xr:uid="{892AD6FD-14BD-4DF2-B90C-FD740E14D11B}"/>
    <cellStyle name="Обычный 2 4 7" xfId="214" xr:uid="{287F705B-DAD6-40B4-B96C-67691D894031}"/>
    <cellStyle name="Обычный 2 4 8" xfId="238" xr:uid="{EAE68484-D970-41FE-AA34-E1782417EEE2}"/>
    <cellStyle name="Обычный 2 4 9" xfId="264" xr:uid="{9BF942C7-35CF-4FA9-8758-B5E551FCFE05}"/>
    <cellStyle name="Обычный 2 5" xfId="17" xr:uid="{00000000-0005-0000-0000-00000B000000}"/>
    <cellStyle name="Обычный 2 5 2" xfId="75" xr:uid="{1682F1D5-96D1-4F31-A66B-1F765953F6B9}"/>
    <cellStyle name="Обычный 2 6" xfId="119" xr:uid="{4DF68472-B5AE-46CD-B60D-9D71259F4BF7}"/>
    <cellStyle name="Обычный 2 7" xfId="125" xr:uid="{72282823-8CB3-48D8-8A0E-D451A81707E6}"/>
    <cellStyle name="Обычный 2 8" xfId="13" xr:uid="{00000000-0005-0000-0000-00000C000000}"/>
    <cellStyle name="Обычный 2 9" xfId="148" xr:uid="{7BD5372E-407E-434D-947E-977222BACABE}"/>
    <cellStyle name="Обычный 3" xfId="1" xr:uid="{00000000-0005-0000-0000-00000D000000}"/>
    <cellStyle name="Обычный 3 10" xfId="197" xr:uid="{02029309-366F-40A7-A0F3-0A6A8DE326FE}"/>
    <cellStyle name="Обычный 3 11" xfId="221" xr:uid="{C83F24D5-3968-419F-B0F2-E4EC7256F482}"/>
    <cellStyle name="Обычный 3 12" xfId="247" xr:uid="{5B50B96F-07F2-47B8-9159-706030699BEE}"/>
    <cellStyle name="Обычный 3 13" xfId="275" xr:uid="{55077DD1-11B2-4A72-AF48-1972A6F4798E}"/>
    <cellStyle name="Обычный 3 14" xfId="299" xr:uid="{225CB218-0980-42BD-9991-CDF9E4AD4B27}"/>
    <cellStyle name="Обычный 3 15" xfId="324" xr:uid="{A05E5726-47BE-4A71-9284-0E3AC6A1069E}"/>
    <cellStyle name="Обычный 3 16" xfId="349" xr:uid="{8B205F05-2467-4995-9F1B-9D61C25BBE05}"/>
    <cellStyle name="Обычный 3 17" xfId="54" xr:uid="{02C1AC8E-AF62-441F-9127-6B4F1CC8D21A}"/>
    <cellStyle name="Обычный 3 2" xfId="4" xr:uid="{00000000-0005-0000-0000-00000E000000}"/>
    <cellStyle name="Обычный 3 2 10" xfId="281" xr:uid="{1C7826A2-7C29-444A-8783-05FF952CC48E}"/>
    <cellStyle name="Обычный 3 2 11" xfId="305" xr:uid="{40979511-6F53-4FA9-B8DA-C1881BBDFA80}"/>
    <cellStyle name="Обычный 3 2 12" xfId="330" xr:uid="{CF1883AA-2C7C-4115-9814-50F266D10716}"/>
    <cellStyle name="Обычный 3 2 13" xfId="355" xr:uid="{1FE59198-5093-4BDA-9137-6A1659FD9AC3}"/>
    <cellStyle name="Обычный 3 2 14" xfId="55" xr:uid="{7B1AD712-70B2-42EB-B29D-52CF8BA5D12E}"/>
    <cellStyle name="Обычный 3 2 2" xfId="22" xr:uid="{00000000-0005-0000-0000-00000F000000}"/>
    <cellStyle name="Обычный 3 2 2 2" xfId="82" xr:uid="{A627FA39-A086-4865-A293-797B0C93B031}"/>
    <cellStyle name="Обычный 3 2 3" xfId="110" xr:uid="{0DB8144C-8998-4225-B51E-068518A23C4B}"/>
    <cellStyle name="Обычный 3 2 4" xfId="131" xr:uid="{6EDB5F18-7177-4FCF-A04E-2F2659367F7A}"/>
    <cellStyle name="Обычный 3 2 5" xfId="155" xr:uid="{E13F6796-7921-48C9-8A53-21FD491CB1DA}"/>
    <cellStyle name="Обычный 3 2 6" xfId="179" xr:uid="{A856EF2C-0E30-4F38-B015-CCC7D5746FD3}"/>
    <cellStyle name="Обычный 3 2 7" xfId="203" xr:uid="{DF8FCEE7-F4E1-4BE4-8D39-2B4E59B8EF65}"/>
    <cellStyle name="Обычный 3 2 8" xfId="227" xr:uid="{514EF544-2C3C-4975-AEF6-C28E45D39DAE}"/>
    <cellStyle name="Обычный 3 2 9" xfId="253" xr:uid="{CE38AFF5-B614-4A79-B6E8-2672571675F5}"/>
    <cellStyle name="Обычный 3 3" xfId="23" xr:uid="{00000000-0005-0000-0000-000010000000}"/>
    <cellStyle name="Обычный 3 3 10" xfId="287" xr:uid="{6FF9728E-6555-4A8C-B5D0-6496ACF6E99A}"/>
    <cellStyle name="Обычный 3 3 11" xfId="311" xr:uid="{EB6353F2-CC97-467C-97C0-B7F85E422A23}"/>
    <cellStyle name="Обычный 3 3 12" xfId="336" xr:uid="{27FE9572-C513-4078-9BEA-EA39FB5E013E}"/>
    <cellStyle name="Обычный 3 3 13" xfId="361" xr:uid="{86FA82DF-FBF0-44ED-AEA2-F5C02B070488}"/>
    <cellStyle name="Обычный 3 3 14" xfId="56" xr:uid="{1FB1E656-2BCD-4995-AD47-97B18E00D8D1}"/>
    <cellStyle name="Обычный 3 3 2" xfId="88" xr:uid="{A54C9773-2386-4011-89CF-5D5B1C459CF4}"/>
    <cellStyle name="Обычный 3 3 3" xfId="103" xr:uid="{FFF8F190-4B3C-467F-BF73-C631C7CCB5BF}"/>
    <cellStyle name="Обычный 3 3 4" xfId="137" xr:uid="{8468E78B-6631-4CF2-8015-481CB98490AB}"/>
    <cellStyle name="Обычный 3 3 5" xfId="161" xr:uid="{28FCE074-ABB8-4E65-8DF0-24D52D86F95F}"/>
    <cellStyle name="Обычный 3 3 6" xfId="185" xr:uid="{856AF56A-F36B-410D-BDE0-0E789788CE86}"/>
    <cellStyle name="Обычный 3 3 7" xfId="209" xr:uid="{CD0E806C-F783-4E99-9194-76AEE0AA2A6F}"/>
    <cellStyle name="Обычный 3 3 8" xfId="233" xr:uid="{6681A19A-42E7-4B16-A3A6-C444CDF77C6E}"/>
    <cellStyle name="Обычный 3 3 9" xfId="259" xr:uid="{93FFF826-D35F-438D-826A-D9D483451141}"/>
    <cellStyle name="Обычный 3 4" xfId="24" xr:uid="{00000000-0005-0000-0000-000011000000}"/>
    <cellStyle name="Обычный 3 4 10" xfId="293" xr:uid="{FF56F802-FBDD-4132-8AD7-146DBE272BFB}"/>
    <cellStyle name="Обычный 3 4 11" xfId="317" xr:uid="{A8905198-8B1B-4440-9B27-1A5BE87B753B}"/>
    <cellStyle name="Обычный 3 4 12" xfId="342" xr:uid="{1A833FD2-FE99-49C5-A291-8866AFB3A05D}"/>
    <cellStyle name="Обычный 3 4 13" xfId="367" xr:uid="{F0C9DB6D-5279-4D37-A267-52AD57BEA3B1}"/>
    <cellStyle name="Обычный 3 4 14" xfId="57" xr:uid="{B8D39AEB-8672-4C1F-92CD-16C57D977ACA}"/>
    <cellStyle name="Обычный 3 4 2" xfId="94" xr:uid="{3E241E46-9B2E-418E-902E-88AF83916E1A}"/>
    <cellStyle name="Обычный 3 4 3" xfId="124" xr:uid="{037FF442-D658-4A61-9244-C7502956BDB5}"/>
    <cellStyle name="Обычный 3 4 4" xfId="143" xr:uid="{6809D7D5-FD1F-406A-BABA-163F6CCE9A59}"/>
    <cellStyle name="Обычный 3 4 5" xfId="167" xr:uid="{AA83580B-C782-4E51-A68B-3917C9D000D6}"/>
    <cellStyle name="Обычный 3 4 6" xfId="191" xr:uid="{55B9826E-C36C-42E2-8242-59DE0177D589}"/>
    <cellStyle name="Обычный 3 4 7" xfId="215" xr:uid="{33B95761-2202-47D8-9963-3135513934BF}"/>
    <cellStyle name="Обычный 3 4 8" xfId="239" xr:uid="{985FA88E-9951-446B-8517-247C73DFD2B1}"/>
    <cellStyle name="Обычный 3 4 9" xfId="265" xr:uid="{436862FE-31BE-46EC-AE36-9401AF5F9D69}"/>
    <cellStyle name="Обычный 3 5" xfId="21" xr:uid="{00000000-0005-0000-0000-000012000000}"/>
    <cellStyle name="Обычный 3 5 2" xfId="76" xr:uid="{D1782DAC-EE46-412C-A655-568638577B61}"/>
    <cellStyle name="Обычный 3 6" xfId="46" xr:uid="{00000000-0005-0000-0000-000013000000}"/>
    <cellStyle name="Обычный 3 6 2" xfId="116" xr:uid="{A84FB2E0-1B91-49D7-B83D-513CE4D2B3DA}"/>
    <cellStyle name="Обычный 3 7" xfId="126" xr:uid="{0A1C818E-5C48-4854-BEAE-7FAE4DEC43A7}"/>
    <cellStyle name="Обычный 3 8" xfId="149" xr:uid="{389DACE3-67FB-48C6-ACFD-F3560DE0CF33}"/>
    <cellStyle name="Обычный 3 9" xfId="173" xr:uid="{943045B6-DD7E-4EA1-AACB-40A988328DD3}"/>
    <cellStyle name="Обычный 4" xfId="2" xr:uid="{00000000-0005-0000-0000-000014000000}"/>
    <cellStyle name="Обычный 4 2" xfId="25" xr:uid="{00000000-0005-0000-0000-000015000000}"/>
    <cellStyle name="Обычный 4 2 2" xfId="118" xr:uid="{4C77F5BD-A9C7-4A9B-92E0-BABA86CCFA1A}"/>
    <cellStyle name="Обычный 4 3" xfId="47" xr:uid="{00000000-0005-0000-0000-000016000000}"/>
    <cellStyle name="Обычный 5" xfId="6" xr:uid="{00000000-0005-0000-0000-000017000000}"/>
    <cellStyle name="Обычный 5 2" xfId="10" xr:uid="{00000000-0005-0000-0000-000018000000}"/>
    <cellStyle name="Обычный 5 3" xfId="26" xr:uid="{00000000-0005-0000-0000-000019000000}"/>
    <cellStyle name="Обычный 5 3 2" xfId="112" xr:uid="{B4F59E41-8E6B-44B6-B063-2ACAAF5D057C}"/>
    <cellStyle name="Обычный 5 4" xfId="58" xr:uid="{A9E431AF-1CDB-4C98-9408-D0C1FC00190E}"/>
    <cellStyle name="Обычный 6" xfId="7" xr:uid="{00000000-0005-0000-0000-00001A000000}"/>
    <cellStyle name="Обычный 6 10" xfId="199" xr:uid="{E5E219E3-BB37-41D7-AE17-78596D0A3AF0}"/>
    <cellStyle name="Обычный 6 11" xfId="223" xr:uid="{5C14553C-9C1B-4CD6-8AF7-511792CA1E39}"/>
    <cellStyle name="Обычный 6 12" xfId="249" xr:uid="{0B6AF2ED-F835-4EF9-84E5-12588ED957A5}"/>
    <cellStyle name="Обычный 6 13" xfId="277" xr:uid="{4ED6190D-CA01-4747-BE4F-04B2D24B0509}"/>
    <cellStyle name="Обычный 6 14" xfId="301" xr:uid="{5AB1243D-36AE-477C-9C00-0FB21575321F}"/>
    <cellStyle name="Обычный 6 15" xfId="326" xr:uid="{9855025C-74C2-4C91-9DDA-4D97822DEC95}"/>
    <cellStyle name="Обычный 6 16" xfId="351" xr:uid="{0EDA332D-C16A-4747-9BAF-74CBFAC22B56}"/>
    <cellStyle name="Обычный 6 17" xfId="59" xr:uid="{EAF80BC0-7A94-46DC-B42B-C00BF47024D9}"/>
    <cellStyle name="Обычный 6 2" xfId="28" xr:uid="{00000000-0005-0000-0000-00001B000000}"/>
    <cellStyle name="Обычный 6 2 10" xfId="283" xr:uid="{9058622A-B32F-4491-89F4-E9D2F03F6E71}"/>
    <cellStyle name="Обычный 6 2 11" xfId="307" xr:uid="{6D19AD1E-57F5-42F8-A41A-6E6542577BA9}"/>
    <cellStyle name="Обычный 6 2 12" xfId="332" xr:uid="{0743CDBC-BE09-4BD8-A7F7-4347E69A91BD}"/>
    <cellStyle name="Обычный 6 2 13" xfId="357" xr:uid="{3858E329-FA1E-4321-A9BF-DF577887C296}"/>
    <cellStyle name="Обычный 6 2 14" xfId="60" xr:uid="{9593781E-2280-410F-936C-30499C99608E}"/>
    <cellStyle name="Обычный 6 2 2" xfId="84" xr:uid="{A1B2B858-C162-4D35-83CD-C9FC35F90D88}"/>
    <cellStyle name="Обычный 6 2 3" xfId="123" xr:uid="{C6092CCC-3FF6-4F52-B276-CA1CB646E057}"/>
    <cellStyle name="Обычный 6 2 4" xfId="133" xr:uid="{0123B071-3DBD-409D-93DF-C1DF3788A0F8}"/>
    <cellStyle name="Обычный 6 2 5" xfId="157" xr:uid="{8394B20C-AA0B-4CD7-9E46-9215EE4944E5}"/>
    <cellStyle name="Обычный 6 2 6" xfId="181" xr:uid="{5AB3A409-7544-4417-B610-CD17A154A750}"/>
    <cellStyle name="Обычный 6 2 7" xfId="205" xr:uid="{1AFCD49C-FF00-428C-BBA6-72127E3D1E17}"/>
    <cellStyle name="Обычный 6 2 8" xfId="229" xr:uid="{5FEA91DF-3999-4DB6-8676-601E7830BCB2}"/>
    <cellStyle name="Обычный 6 2 9" xfId="255" xr:uid="{9B519C73-B574-4F2D-9CBD-BBE898761700}"/>
    <cellStyle name="Обычный 6 3" xfId="29" xr:uid="{00000000-0005-0000-0000-00001C000000}"/>
    <cellStyle name="Обычный 6 3 10" xfId="289" xr:uid="{342C9DD0-577F-4B45-BA06-D5D7ED44C486}"/>
    <cellStyle name="Обычный 6 3 11" xfId="313" xr:uid="{003A42D0-16FC-4ABF-8A07-53AEEBBA5BAD}"/>
    <cellStyle name="Обычный 6 3 12" xfId="338" xr:uid="{C5D23506-4D88-4587-9319-7773751213E1}"/>
    <cellStyle name="Обычный 6 3 13" xfId="363" xr:uid="{06FEAA49-0373-44D9-BEC7-480E36BAEEB5}"/>
    <cellStyle name="Обычный 6 3 14" xfId="61" xr:uid="{990F94F6-616D-491A-BBCE-CBA052E3E96A}"/>
    <cellStyle name="Обычный 6 3 2" xfId="90" xr:uid="{B0637A0E-6129-4D2C-B7D5-E04B513325BB}"/>
    <cellStyle name="Обычный 6 3 3" xfId="117" xr:uid="{BAB76C5A-08B6-4278-97CC-25D616B30A2D}"/>
    <cellStyle name="Обычный 6 3 4" xfId="139" xr:uid="{521780AD-DFE1-47E7-AD39-6E5A137651E6}"/>
    <cellStyle name="Обычный 6 3 5" xfId="163" xr:uid="{D5BAE086-9D12-43F5-9678-ABE16527EF7D}"/>
    <cellStyle name="Обычный 6 3 6" xfId="187" xr:uid="{21E44541-4C54-41FE-92FF-B76695C791F6}"/>
    <cellStyle name="Обычный 6 3 7" xfId="211" xr:uid="{F457D75B-5736-4C6C-93A9-6F3FDA1CC3D7}"/>
    <cellStyle name="Обычный 6 3 8" xfId="235" xr:uid="{BE8CCB50-EBEA-4340-85B3-F1E3B325E0C7}"/>
    <cellStyle name="Обычный 6 3 9" xfId="261" xr:uid="{A1D74A21-5695-477E-BF60-B02AD99DC85A}"/>
    <cellStyle name="Обычный 6 4" xfId="30" xr:uid="{00000000-0005-0000-0000-00001D000000}"/>
    <cellStyle name="Обычный 6 4 10" xfId="295" xr:uid="{2FDCE3DF-25CA-455B-B488-5EBD6DAB774F}"/>
    <cellStyle name="Обычный 6 4 11" xfId="319" xr:uid="{A0916967-178F-44F1-BB1E-0C3A03B41716}"/>
    <cellStyle name="Обычный 6 4 12" xfId="344" xr:uid="{7BDA4212-6C6B-4FB0-876A-0CFD6BBAB290}"/>
    <cellStyle name="Обычный 6 4 13" xfId="369" xr:uid="{710916DC-1201-43BD-B6AB-9D7CB7170AA8}"/>
    <cellStyle name="Обычный 6 4 14" xfId="62" xr:uid="{36C910B7-D37E-46D2-AA84-881F6087A5BE}"/>
    <cellStyle name="Обычный 6 4 2" xfId="96" xr:uid="{BC20DCB7-5F43-4B63-AB46-4B5A3E70AF39}"/>
    <cellStyle name="Обычный 6 4 3" xfId="111" xr:uid="{953D67FC-389D-4371-8C71-87D9D141459D}"/>
    <cellStyle name="Обычный 6 4 4" xfId="145" xr:uid="{71B45289-DB07-45AF-A149-8743EF028664}"/>
    <cellStyle name="Обычный 6 4 5" xfId="169" xr:uid="{EB9DD993-719F-4CA7-B5A3-9C90DFD13947}"/>
    <cellStyle name="Обычный 6 4 6" xfId="193" xr:uid="{32CD9F0C-57E8-4096-B786-670DE6A51B63}"/>
    <cellStyle name="Обычный 6 4 7" xfId="217" xr:uid="{A244C8B9-7BB8-437F-A55A-EC2D97368CF1}"/>
    <cellStyle name="Обычный 6 4 8" xfId="241" xr:uid="{B648A223-5767-42FD-8274-746D6F6EA649}"/>
    <cellStyle name="Обычный 6 4 9" xfId="267" xr:uid="{97224009-7194-4C75-A10A-5F8821ACEC4D}"/>
    <cellStyle name="Обычный 6 5" xfId="27" xr:uid="{00000000-0005-0000-0000-00001E000000}"/>
    <cellStyle name="Обычный 6 5 2" xfId="78" xr:uid="{459DE28A-7E4E-48E9-B6D8-B8B0921971E8}"/>
    <cellStyle name="Обычный 6 6" xfId="106" xr:uid="{7A23549A-90E8-4B58-AE2D-BFF37F35F709}"/>
    <cellStyle name="Обычный 6 7" xfId="128" xr:uid="{E48EE7F6-AACE-4AEC-B7B8-46A04A31865C}"/>
    <cellStyle name="Обычный 6 8" xfId="151" xr:uid="{8A218E8B-B497-46AC-85FB-EC59C28C3353}"/>
    <cellStyle name="Обычный 6 9" xfId="175" xr:uid="{F6C4168D-0392-47BE-9FD4-BB32CFFF9068}"/>
    <cellStyle name="Обычный 7" xfId="8" xr:uid="{00000000-0005-0000-0000-00001F000000}"/>
    <cellStyle name="Обычный 7 10" xfId="200" xr:uid="{CF2A66FD-CE18-4FA6-BB81-7E97A5D5A6E1}"/>
    <cellStyle name="Обычный 7 11" xfId="224" xr:uid="{086040A0-85BB-4C4E-B4E7-7C41A164C7C7}"/>
    <cellStyle name="Обычный 7 12" xfId="250" xr:uid="{5684995B-76E7-4A4E-8C0B-3686BE6D0CBF}"/>
    <cellStyle name="Обычный 7 13" xfId="278" xr:uid="{2B295093-278B-49E2-A436-7806E5699DCB}"/>
    <cellStyle name="Обычный 7 14" xfId="302" xr:uid="{3C48058F-E763-4EF2-A82D-83130D3B7EE4}"/>
    <cellStyle name="Обычный 7 15" xfId="327" xr:uid="{EA6BB934-FAC9-4160-BABC-8A549BF7C809}"/>
    <cellStyle name="Обычный 7 16" xfId="352" xr:uid="{8BD437B1-1307-4CD5-B8A6-A9779FF1B827}"/>
    <cellStyle name="Обычный 7 17" xfId="63" xr:uid="{0570EFEA-A7ED-42AF-915D-C70CCCF3190E}"/>
    <cellStyle name="Обычный 7 2" xfId="32" xr:uid="{00000000-0005-0000-0000-000020000000}"/>
    <cellStyle name="Обычный 7 2 10" xfId="284" xr:uid="{973D6BB7-66D7-4B8A-A3A6-CEE1157F7E89}"/>
    <cellStyle name="Обычный 7 2 11" xfId="308" xr:uid="{571A733F-9AA7-406D-A4AA-A61536141E77}"/>
    <cellStyle name="Обычный 7 2 12" xfId="333" xr:uid="{CE23120C-B7E0-42AB-9A19-7EC67FB38DE9}"/>
    <cellStyle name="Обычный 7 2 13" xfId="358" xr:uid="{A5980A91-B922-4D2B-8669-7061267CC24F}"/>
    <cellStyle name="Обычный 7 2 14" xfId="64" xr:uid="{9AA6E19F-2CF0-4CD7-BC94-9B4108A9E7A8}"/>
    <cellStyle name="Обычный 7 2 2" xfId="85" xr:uid="{E87741AA-E7F8-48D4-A635-F13ECE837A25}"/>
    <cellStyle name="Обычный 7 2 3" xfId="104" xr:uid="{34FAF688-032E-4A1F-9B6D-CFBD50B64F4B}"/>
    <cellStyle name="Обычный 7 2 4" xfId="134" xr:uid="{23757BBD-0D51-4438-976C-C7866ABC3D66}"/>
    <cellStyle name="Обычный 7 2 5" xfId="158" xr:uid="{C30A0802-850C-48DD-A5D5-005CFF97DCA0}"/>
    <cellStyle name="Обычный 7 2 6" xfId="182" xr:uid="{578BFACE-8C3D-47D5-9B91-4D7C31142745}"/>
    <cellStyle name="Обычный 7 2 7" xfId="206" xr:uid="{89BD8CAC-900D-4778-90C9-F0F4E5C58E46}"/>
    <cellStyle name="Обычный 7 2 8" xfId="230" xr:uid="{14CBA40E-8C0D-4CFB-9F03-E991CA65FC0D}"/>
    <cellStyle name="Обычный 7 2 9" xfId="256" xr:uid="{6CE09B2C-FF14-453C-8384-686B1336A66F}"/>
    <cellStyle name="Обычный 7 3" xfId="33" xr:uid="{00000000-0005-0000-0000-000021000000}"/>
    <cellStyle name="Обычный 7 3 10" xfId="290" xr:uid="{FFDA0553-1218-4A61-B731-3A1E88EC9A6A}"/>
    <cellStyle name="Обычный 7 3 11" xfId="314" xr:uid="{7460E79A-A0A5-4B4F-AC7E-99F87DC302E4}"/>
    <cellStyle name="Обычный 7 3 12" xfId="339" xr:uid="{5BC586E5-AFF4-443C-A15A-573E2679AF05}"/>
    <cellStyle name="Обычный 7 3 13" xfId="364" xr:uid="{DE677F6F-3DA7-46E5-85E2-30DF84AB7F64}"/>
    <cellStyle name="Обычный 7 3 14" xfId="65" xr:uid="{CEFCB66C-6188-4241-A8E2-37C67F1C9538}"/>
    <cellStyle name="Обычный 7 3 2" xfId="91" xr:uid="{852D077E-3E94-481E-A89F-58660BCD156C}"/>
    <cellStyle name="Обычный 7 3 3" xfId="100" xr:uid="{3D14EC77-7C24-4E5B-ADBF-94D4F5F7F12E}"/>
    <cellStyle name="Обычный 7 3 4" xfId="140" xr:uid="{4B85F17E-6A0F-4B72-BF97-7E315F6A218B}"/>
    <cellStyle name="Обычный 7 3 5" xfId="164" xr:uid="{CA6BAD2B-F99D-4C0D-828C-A52F38312EA2}"/>
    <cellStyle name="Обычный 7 3 6" xfId="188" xr:uid="{1C77C936-58FB-444A-8227-6188A528D17E}"/>
    <cellStyle name="Обычный 7 3 7" xfId="212" xr:uid="{1D481F8E-54A5-4C15-A97E-F98C76A98D01}"/>
    <cellStyle name="Обычный 7 3 8" xfId="236" xr:uid="{98888894-A300-4CEC-A62C-FBD04A65D14A}"/>
    <cellStyle name="Обычный 7 3 9" xfId="262" xr:uid="{EFF5DD6A-D5D4-45BB-A5B5-BB7E45EE95FD}"/>
    <cellStyle name="Обычный 7 4" xfId="34" xr:uid="{00000000-0005-0000-0000-000022000000}"/>
    <cellStyle name="Обычный 7 4 10" xfId="296" xr:uid="{99CA58E7-8819-4D72-AE4D-9FC9FCB2A3FE}"/>
    <cellStyle name="Обычный 7 4 11" xfId="320" xr:uid="{AC110890-AEB8-407F-A080-EDDB5A05127E}"/>
    <cellStyle name="Обычный 7 4 12" xfId="345" xr:uid="{6EB778F5-9C1C-44C1-BC87-38CE61CAA141}"/>
    <cellStyle name="Обычный 7 4 13" xfId="370" xr:uid="{95DAE3F6-BE06-488E-84E5-514F75D3AC25}"/>
    <cellStyle name="Обычный 7 4 14" xfId="66" xr:uid="{9F617F99-2801-4D86-A751-8CF54C5CAC84}"/>
    <cellStyle name="Обычный 7 4 2" xfId="97" xr:uid="{567B5D5E-B3E3-4B7B-B315-2DFC004F1297}"/>
    <cellStyle name="Обычный 7 4 3" xfId="121" xr:uid="{32F027BE-2418-47FB-AD61-DFD5BAFD010D}"/>
    <cellStyle name="Обычный 7 4 4" xfId="146" xr:uid="{D1E99438-F2A2-45DB-AD3F-BB14420B7734}"/>
    <cellStyle name="Обычный 7 4 5" xfId="170" xr:uid="{1FDCBA04-8CF0-48DD-A7C6-AA0454CC3BA7}"/>
    <cellStyle name="Обычный 7 4 6" xfId="194" xr:uid="{ABCA2DCB-B96C-4A9F-937F-80CD23845AC4}"/>
    <cellStyle name="Обычный 7 4 7" xfId="218" xr:uid="{740F203F-C0C3-40E1-9308-E2F373A5A170}"/>
    <cellStyle name="Обычный 7 4 8" xfId="242" xr:uid="{E829B569-46F9-481A-B290-49E0418EB3E1}"/>
    <cellStyle name="Обычный 7 4 9" xfId="268" xr:uid="{1E13BB56-2C22-47ED-8BD2-2A85D1FF17B9}"/>
    <cellStyle name="Обычный 7 5" xfId="31" xr:uid="{00000000-0005-0000-0000-000023000000}"/>
    <cellStyle name="Обычный 7 5 2" xfId="79" xr:uid="{336F255B-70E3-4F5C-9AED-9DF80F4688AA}"/>
    <cellStyle name="Обычный 7 6" xfId="105" xr:uid="{5843A44F-7926-441F-B125-7E24591532CE}"/>
    <cellStyle name="Обычный 7 7" xfId="129" xr:uid="{77CCE480-81EB-49CC-9F8B-3C6FE89DDCCE}"/>
    <cellStyle name="Обычный 7 8" xfId="152" xr:uid="{DF7F3D4B-C5FE-4BCC-9BA2-DD169E5F308B}"/>
    <cellStyle name="Обычный 7 9" xfId="176" xr:uid="{C20EFBE9-AA72-4C0D-A9E9-7954775B058B}"/>
    <cellStyle name="Обычный 8" xfId="14" xr:uid="{00000000-0005-0000-0000-000024000000}"/>
    <cellStyle name="Обычный 8 2" xfId="35" xr:uid="{00000000-0005-0000-0000-000025000000}"/>
    <cellStyle name="Обычный 9" xfId="15" xr:uid="{00000000-0005-0000-0000-000026000000}"/>
    <cellStyle name="Обычный 9 2" xfId="16" xr:uid="{00000000-0005-0000-0000-000027000000}"/>
    <cellStyle name="Обычный 9 2 2" xfId="245" xr:uid="{8D3684AE-28C1-4446-8D13-9ECE2D708685}"/>
    <cellStyle name="Обычный 9 3" xfId="271" xr:uid="{77CF10B3-AE35-4F2B-A6C3-0769AFE7D9E9}"/>
    <cellStyle name="Обычный 9 3 2" xfId="373" xr:uid="{A8344779-EC73-4A12-B5F1-68247854C333}"/>
    <cellStyle name="Обычный 9 4" xfId="273" xr:uid="{FC7016E1-7BCD-4328-BBC4-E17C266F9170}"/>
    <cellStyle name="Финансовый 2" xfId="5" xr:uid="{00000000-0005-0000-0000-000028000000}"/>
    <cellStyle name="Финансовый 2 10" xfId="198" xr:uid="{95A8E4DC-38BB-49CF-9EE4-EB1E9DF07B8F}"/>
    <cellStyle name="Финансовый 2 11" xfId="222" xr:uid="{697886F7-E250-4D8E-9A56-E9DA2C7C1FCD}"/>
    <cellStyle name="Финансовый 2 12" xfId="248" xr:uid="{F26BF219-43D0-4E62-8719-11F104D4911E}"/>
    <cellStyle name="Финансовый 2 13" xfId="276" xr:uid="{EA3087AC-E3C0-4874-AE1C-71853F115EEE}"/>
    <cellStyle name="Финансовый 2 14" xfId="300" xr:uid="{4E4A3313-899C-4101-8DD0-467FDB2E62EA}"/>
    <cellStyle name="Финансовый 2 15" xfId="325" xr:uid="{D60A6CA7-328E-4235-93A4-054CC9C8FA98}"/>
    <cellStyle name="Финансовый 2 16" xfId="350" xr:uid="{8BAF1903-40E6-43CC-8A6C-831B490AB5D3}"/>
    <cellStyle name="Финансовый 2 17" xfId="67" xr:uid="{417F84DB-A5A4-4F37-BFC9-9D03E65648AD}"/>
    <cellStyle name="Финансовый 2 2" xfId="37" xr:uid="{00000000-0005-0000-0000-000029000000}"/>
    <cellStyle name="Финансовый 2 2 10" xfId="282" xr:uid="{A5680ADB-1E6A-41E8-84C2-C09236B41F31}"/>
    <cellStyle name="Финансовый 2 2 11" xfId="306" xr:uid="{70C68108-8E92-44D7-A8BF-48387C5E88FE}"/>
    <cellStyle name="Финансовый 2 2 12" xfId="331" xr:uid="{12E4B58F-48D5-4F35-8624-899925E9EBE5}"/>
    <cellStyle name="Финансовый 2 2 13" xfId="356" xr:uid="{B7ED21A1-CB2A-4476-97E0-6D8CE19302F1}"/>
    <cellStyle name="Финансовый 2 2 14" xfId="68" xr:uid="{C4542A79-5F49-4425-AA4A-EA79692238FE}"/>
    <cellStyle name="Финансовый 2 2 2" xfId="83" xr:uid="{F3F71804-565A-4AE4-8DDE-27F733E9637D}"/>
    <cellStyle name="Финансовый 2 2 3" xfId="109" xr:uid="{E2909666-63AF-44AC-A695-272323CF9F51}"/>
    <cellStyle name="Финансовый 2 2 4" xfId="132" xr:uid="{B8328472-01A3-45F9-A6FE-C25D866EA5BA}"/>
    <cellStyle name="Финансовый 2 2 5" xfId="156" xr:uid="{4C964D56-A7F8-404D-B096-C47178A83E15}"/>
    <cellStyle name="Финансовый 2 2 6" xfId="180" xr:uid="{CF662727-52EA-4576-99B7-EA9AC683E89E}"/>
    <cellStyle name="Финансовый 2 2 7" xfId="204" xr:uid="{5A3409F9-06DA-4DCF-8681-957120168237}"/>
    <cellStyle name="Финансовый 2 2 8" xfId="228" xr:uid="{C70EBFC9-A319-4ED5-9317-BFBA53CB06C3}"/>
    <cellStyle name="Финансовый 2 2 9" xfId="254" xr:uid="{D505C3A4-1761-450A-9501-2E08E5A9AE85}"/>
    <cellStyle name="Финансовый 2 3" xfId="38" xr:uid="{00000000-0005-0000-0000-00002A000000}"/>
    <cellStyle name="Финансовый 2 3 10" xfId="288" xr:uid="{AB03C2DE-1A3A-403E-98BB-C10E4C3DBFE9}"/>
    <cellStyle name="Финансовый 2 3 11" xfId="312" xr:uid="{F41FEDAA-3F05-4874-96A6-4556A57AD4DD}"/>
    <cellStyle name="Финансовый 2 3 12" xfId="337" xr:uid="{842F1E85-4D95-47AB-8129-190CE60E89A6}"/>
    <cellStyle name="Финансовый 2 3 13" xfId="362" xr:uid="{4E35023E-7A66-4313-A707-0754EF193534}"/>
    <cellStyle name="Финансовый 2 3 14" xfId="69" xr:uid="{CD9EC48E-116E-4633-A765-82DF048469DC}"/>
    <cellStyle name="Финансовый 2 3 2" xfId="89" xr:uid="{CF3B8C61-5CDB-42B1-88A8-ED3C206A023C}"/>
    <cellStyle name="Финансовый 2 3 3" xfId="102" xr:uid="{AEED70D2-FD09-496F-8CA8-89EF807ECF12}"/>
    <cellStyle name="Финансовый 2 3 4" xfId="138" xr:uid="{97DD02EA-5037-4AC4-9D08-943F5FDDA91E}"/>
    <cellStyle name="Финансовый 2 3 5" xfId="162" xr:uid="{9DBA2F80-11F5-4A38-B403-6F8FE6D2022C}"/>
    <cellStyle name="Финансовый 2 3 6" xfId="186" xr:uid="{D3AA41D0-AC67-47C7-8368-DEC0F6B85C45}"/>
    <cellStyle name="Финансовый 2 3 7" xfId="210" xr:uid="{3A78CA40-B3E1-4358-A458-E84A07FA014A}"/>
    <cellStyle name="Финансовый 2 3 8" xfId="234" xr:uid="{15469342-1956-4C0A-A1E5-CD4C1C8204A6}"/>
    <cellStyle name="Финансовый 2 3 9" xfId="260" xr:uid="{5D0B474F-9840-488F-87B0-B1D983D847B4}"/>
    <cellStyle name="Финансовый 2 4" xfId="39" xr:uid="{00000000-0005-0000-0000-00002B000000}"/>
    <cellStyle name="Финансовый 2 4 10" xfId="294" xr:uid="{790A38BF-E382-400A-8EF9-18040A93918D}"/>
    <cellStyle name="Финансовый 2 4 11" xfId="318" xr:uid="{C921D717-8494-4AAA-BF92-91D2F54CAC17}"/>
    <cellStyle name="Финансовый 2 4 12" xfId="343" xr:uid="{BA9713E5-8147-4B31-80AF-8679747FB5BA}"/>
    <cellStyle name="Финансовый 2 4 13" xfId="368" xr:uid="{8092327F-3C41-4FBA-AF9A-DAF374447DB1}"/>
    <cellStyle name="Финансовый 2 4 14" xfId="70" xr:uid="{4F09DAEE-DAC2-4F1C-A3BA-BB7897E267A2}"/>
    <cellStyle name="Финансовый 2 4 2" xfId="95" xr:uid="{440E55BB-41AF-4B4E-A838-C4F54C3CFD2C}"/>
    <cellStyle name="Финансовый 2 4 3" xfId="120" xr:uid="{9C79D29E-DC8F-4CAC-96D3-D2E6EA429A5B}"/>
    <cellStyle name="Финансовый 2 4 4" xfId="144" xr:uid="{780D960C-B5BB-4A25-913A-812B352A3144}"/>
    <cellStyle name="Финансовый 2 4 5" xfId="168" xr:uid="{7EFC8426-3366-4E22-BA0C-C28237A81795}"/>
    <cellStyle name="Финансовый 2 4 6" xfId="192" xr:uid="{740E7DDF-123F-456D-927B-33EFB552915D}"/>
    <cellStyle name="Финансовый 2 4 7" xfId="216" xr:uid="{FAC09D23-0604-426A-B85D-12EA1ECC2F3C}"/>
    <cellStyle name="Финансовый 2 4 8" xfId="240" xr:uid="{718A2C66-948F-4C07-9948-F166ABB62474}"/>
    <cellStyle name="Финансовый 2 4 9" xfId="266" xr:uid="{B39F62AE-8D97-49E2-8A4E-05D4B0EF7B44}"/>
    <cellStyle name="Финансовый 2 5" xfId="36" xr:uid="{00000000-0005-0000-0000-00002C000000}"/>
    <cellStyle name="Финансовый 2 5 2" xfId="77" xr:uid="{00E89B2A-EA2E-4B89-8A26-4E049C94291E}"/>
    <cellStyle name="Финансовый 2 6" xfId="115" xr:uid="{69214095-F20C-4B64-BD84-DCEDC057FF10}"/>
    <cellStyle name="Финансовый 2 7" xfId="127" xr:uid="{83CFF454-CB07-4AD6-AEC6-98210F6A487A}"/>
    <cellStyle name="Финансовый 2 8" xfId="150" xr:uid="{4B72714C-893F-4A6D-8C52-9DF4BF68A7A3}"/>
    <cellStyle name="Финансовый 2 9" xfId="174" xr:uid="{D778C8D6-DD20-4F25-9C19-539FD865B896}"/>
    <cellStyle name="Финансовый 3" xfId="9" xr:uid="{00000000-0005-0000-0000-00002D000000}"/>
    <cellStyle name="Финансовый 3 10" xfId="201" xr:uid="{3D04D255-1E78-46A6-AC51-CF844FC4D6A8}"/>
    <cellStyle name="Финансовый 3 11" xfId="225" xr:uid="{ED23206C-5A06-4573-86ED-00E0B85C7F1D}"/>
    <cellStyle name="Финансовый 3 12" xfId="251" xr:uid="{EEEDCFDA-7026-4497-A58C-9FA5C070E2F3}"/>
    <cellStyle name="Финансовый 3 13" xfId="279" xr:uid="{544F29C1-B8E3-4739-9856-C6CB4C53E6D7}"/>
    <cellStyle name="Финансовый 3 14" xfId="303" xr:uid="{107B5841-CB08-41A8-A530-2A477CC74ECC}"/>
    <cellStyle name="Финансовый 3 15" xfId="328" xr:uid="{4B30941C-2E40-4B95-83E9-247241AD916A}"/>
    <cellStyle name="Финансовый 3 16" xfId="353" xr:uid="{89693941-B042-463D-A607-47AA91F5F3BE}"/>
    <cellStyle name="Финансовый 3 17" xfId="71" xr:uid="{9443447E-08C8-470A-A75F-315F1F7F14A3}"/>
    <cellStyle name="Финансовый 3 2" xfId="41" xr:uid="{00000000-0005-0000-0000-00002E000000}"/>
    <cellStyle name="Финансовый 3 2 10" xfId="285" xr:uid="{E009CFE1-BF9F-4039-A745-EF86EB856432}"/>
    <cellStyle name="Финансовый 3 2 11" xfId="309" xr:uid="{438C8467-305E-4378-8F5A-67E3DBB6EEA9}"/>
    <cellStyle name="Финансовый 3 2 12" xfId="334" xr:uid="{E825C4C1-50FE-4E62-B9AE-CA8E4067836E}"/>
    <cellStyle name="Финансовый 3 2 13" xfId="359" xr:uid="{1C817FF6-7327-4B5C-A40E-25E357578EA5}"/>
    <cellStyle name="Финансовый 3 2 14" xfId="72" xr:uid="{3146FB83-973B-47F8-AE3F-0A924D0F0374}"/>
    <cellStyle name="Финансовый 3 2 2" xfId="86" xr:uid="{3A561EA0-ECBD-4997-9357-7AC3701B0CD8}"/>
    <cellStyle name="Финансовый 3 2 3" xfId="108" xr:uid="{CAD92C4D-8E20-439C-AFC0-098F9A6CC0A6}"/>
    <cellStyle name="Финансовый 3 2 4" xfId="135" xr:uid="{7B1F4E74-C7EB-4AF4-8330-D9F06C46347F}"/>
    <cellStyle name="Финансовый 3 2 5" xfId="159" xr:uid="{B93D61C5-71AF-4D59-B35B-1383A0145BBF}"/>
    <cellStyle name="Финансовый 3 2 6" xfId="183" xr:uid="{5F5CD8C9-0BEE-4978-9279-2AEB4156B0E2}"/>
    <cellStyle name="Финансовый 3 2 7" xfId="207" xr:uid="{D5F4CF06-D2FD-4CF4-AF2F-AB684C416AF7}"/>
    <cellStyle name="Финансовый 3 2 8" xfId="231" xr:uid="{AB33E10C-719E-4690-8512-25877828C105}"/>
    <cellStyle name="Финансовый 3 2 9" xfId="257" xr:uid="{18197930-AC6D-431B-B83D-2C6D2F1DF357}"/>
    <cellStyle name="Финансовый 3 3" xfId="42" xr:uid="{00000000-0005-0000-0000-00002F000000}"/>
    <cellStyle name="Финансовый 3 3 10" xfId="291" xr:uid="{4A125A64-B876-46F1-8ECC-1B56BCE5D18F}"/>
    <cellStyle name="Финансовый 3 3 11" xfId="315" xr:uid="{1AD62913-7DD7-422B-928B-A4BD54F65960}"/>
    <cellStyle name="Финансовый 3 3 12" xfId="340" xr:uid="{04B7C282-5F11-442A-AC91-A2FA8BF73B5B}"/>
    <cellStyle name="Финансовый 3 3 13" xfId="365" xr:uid="{FCC9D357-59F8-45D3-8C5A-2B3E45FB7DDE}"/>
    <cellStyle name="Финансовый 3 3 14" xfId="73" xr:uid="{750FA4E1-8FAD-4613-A1BA-038E83274E79}"/>
    <cellStyle name="Финансовый 3 3 2" xfId="92" xr:uid="{6FD8B912-CED4-47FE-8682-5691BC5E51CB}"/>
    <cellStyle name="Финансовый 3 3 3" xfId="101" xr:uid="{505E6BB4-DAE6-4E67-960B-FB66DFFD08C5}"/>
    <cellStyle name="Финансовый 3 3 4" xfId="141" xr:uid="{E78E9F33-FAEC-446B-B82F-4293CAE49BF7}"/>
    <cellStyle name="Финансовый 3 3 5" xfId="165" xr:uid="{FB206CED-3D07-4060-B026-7D9E7C04367E}"/>
    <cellStyle name="Финансовый 3 3 6" xfId="189" xr:uid="{CCBE4528-624F-4942-875D-02AD39C88E7D}"/>
    <cellStyle name="Финансовый 3 3 7" xfId="213" xr:uid="{72B54609-C23B-44BD-9CE7-644B1235C0D6}"/>
    <cellStyle name="Финансовый 3 3 8" xfId="237" xr:uid="{4C9C0AAC-4019-431C-91F7-73288E836EFF}"/>
    <cellStyle name="Финансовый 3 3 9" xfId="263" xr:uid="{AB8884EC-C2FE-413F-AD63-68B2852CE27E}"/>
    <cellStyle name="Финансовый 3 4" xfId="43" xr:uid="{00000000-0005-0000-0000-000030000000}"/>
    <cellStyle name="Финансовый 3 4 10" xfId="297" xr:uid="{A0C14C04-B1AB-41A2-803E-8FB6B75CECBD}"/>
    <cellStyle name="Финансовый 3 4 11" xfId="321" xr:uid="{42DDE598-0317-4AF8-8637-AA3649EE469B}"/>
    <cellStyle name="Финансовый 3 4 12" xfId="346" xr:uid="{8BD6BFB9-98F8-406E-B30A-4731FD96D235}"/>
    <cellStyle name="Финансовый 3 4 13" xfId="371" xr:uid="{B6BED4C7-F9D8-4CE6-85ED-B93EBC41321B}"/>
    <cellStyle name="Финансовый 3 4 14" xfId="74" xr:uid="{F1275C2F-2521-428C-8A0D-957FD22CEEE0}"/>
    <cellStyle name="Финансовый 3 4 2" xfId="98" xr:uid="{44812686-C57B-4DDB-AF68-DEEBF40136B9}"/>
    <cellStyle name="Финансовый 3 4 3" xfId="99" xr:uid="{EDF7E16D-E0B4-4503-8041-CAD7AB1A49F2}"/>
    <cellStyle name="Финансовый 3 4 4" xfId="147" xr:uid="{0099DE7B-357D-4023-9365-C56BD18A29C4}"/>
    <cellStyle name="Финансовый 3 4 5" xfId="171" xr:uid="{CD7D8423-0C02-4074-AEFC-69D4E36B9645}"/>
    <cellStyle name="Финансовый 3 4 6" xfId="195" xr:uid="{A6A98E38-5283-4585-80A7-2D59EFC7D4A1}"/>
    <cellStyle name="Финансовый 3 4 7" xfId="219" xr:uid="{BE420961-F48B-4F29-8900-2CFE6DE5D874}"/>
    <cellStyle name="Финансовый 3 4 8" xfId="243" xr:uid="{D8AB4D95-E538-4668-B576-6C2C194D8B0F}"/>
    <cellStyle name="Финансовый 3 4 9" xfId="269" xr:uid="{54B214B8-2D72-4BF3-A8C1-6E54131E802F}"/>
    <cellStyle name="Финансовый 3 5" xfId="40" xr:uid="{00000000-0005-0000-0000-000031000000}"/>
    <cellStyle name="Финансовый 3 5 2" xfId="80" xr:uid="{43FB4C8E-182B-47C3-91D3-BF3C4AF27A4F}"/>
    <cellStyle name="Финансовый 3 6" xfId="114" xr:uid="{E7B566AA-9EAB-442D-A85C-3D51F0099B6D}"/>
    <cellStyle name="Финансовый 3 7" xfId="130" xr:uid="{D98771E3-FE4B-45E8-8364-BCA3C8099D39}"/>
    <cellStyle name="Финансовый 3 8" xfId="153" xr:uid="{0406D1FA-7E57-47A6-9F9A-572533D389ED}"/>
    <cellStyle name="Финансовый 3 9" xfId="177" xr:uid="{2F4769D7-DD9A-4FC6-9267-CBE09A520A01}"/>
    <cellStyle name="Финансовый 4" xfId="322" xr:uid="{3307054D-3724-4EB4-8E73-211C92C0E73E}"/>
    <cellStyle name="Финансовый 4 2" xfId="347" xr:uid="{B61FF4F0-8650-455E-ACF9-0205EC43C0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25"/>
  <sheetViews>
    <sheetView zoomScale="70" zoomScaleNormal="70" workbookViewId="0">
      <selection activeCell="W20" sqref="W20"/>
    </sheetView>
  </sheetViews>
  <sheetFormatPr defaultColWidth="9.28515625" defaultRowHeight="15"/>
  <cols>
    <col min="1" max="1" width="6.140625" style="6" customWidth="1"/>
    <col min="2" max="2" width="28.140625" style="6" customWidth="1"/>
    <col min="3" max="3" width="26.85546875" style="6" customWidth="1"/>
    <col min="4" max="4" width="10.7109375" style="6" customWidth="1"/>
    <col min="5" max="5" width="12.42578125" style="6" customWidth="1"/>
    <col min="6" max="6" width="18.28515625" style="6" bestFit="1" customWidth="1"/>
    <col min="7" max="7" width="10.42578125" style="6" customWidth="1"/>
    <col min="8" max="8" width="11.7109375" style="6" customWidth="1"/>
    <col min="9" max="9" width="26.5703125" style="6" customWidth="1"/>
    <col min="10" max="10" width="10.28515625" style="6" customWidth="1"/>
    <col min="11" max="11" width="12.28515625" style="6" customWidth="1"/>
    <col min="12" max="12" width="12.140625" style="6" customWidth="1"/>
    <col min="13" max="13" width="13.85546875" style="6" customWidth="1"/>
    <col min="14" max="22" width="12.140625" style="6" customWidth="1"/>
    <col min="23" max="23" width="14.140625" style="6" customWidth="1"/>
    <col min="24" max="24" width="86.140625" style="6" customWidth="1"/>
    <col min="25" max="16384" width="9.28515625" style="6"/>
  </cols>
  <sheetData>
    <row r="2" spans="1:24" ht="18.75">
      <c r="B2" s="12" t="s">
        <v>38</v>
      </c>
    </row>
    <row r="4" spans="1:24" ht="15" customHeight="1">
      <c r="A4" s="16" t="s">
        <v>0</v>
      </c>
      <c r="B4" s="16" t="s">
        <v>18</v>
      </c>
      <c r="C4" s="19" t="s">
        <v>26</v>
      </c>
      <c r="D4" s="20"/>
      <c r="E4" s="20"/>
      <c r="F4" s="20"/>
      <c r="G4" s="20"/>
      <c r="H4" s="20"/>
      <c r="I4" s="20"/>
      <c r="J4" s="20"/>
      <c r="K4" s="20"/>
      <c r="L4" s="16" t="s">
        <v>27</v>
      </c>
      <c r="M4" s="16" t="s">
        <v>28</v>
      </c>
      <c r="N4" s="28" t="s">
        <v>29</v>
      </c>
      <c r="O4" s="28"/>
      <c r="P4" s="28"/>
      <c r="Q4" s="28" t="s">
        <v>30</v>
      </c>
      <c r="R4" s="28"/>
      <c r="S4" s="28"/>
      <c r="T4" s="28" t="s">
        <v>31</v>
      </c>
      <c r="U4" s="28"/>
      <c r="V4" s="28"/>
      <c r="W4" s="24" t="s">
        <v>32</v>
      </c>
      <c r="X4" s="27" t="s">
        <v>33</v>
      </c>
    </row>
    <row r="5" spans="1:24" ht="15" customHeight="1">
      <c r="A5" s="17"/>
      <c r="B5" s="17"/>
      <c r="C5" s="19" t="s">
        <v>2</v>
      </c>
      <c r="D5" s="20"/>
      <c r="E5" s="21"/>
      <c r="F5" s="19" t="s">
        <v>34</v>
      </c>
      <c r="G5" s="20"/>
      <c r="H5" s="21"/>
      <c r="I5" s="19" t="s">
        <v>4</v>
      </c>
      <c r="J5" s="20"/>
      <c r="K5" s="21"/>
      <c r="L5" s="17"/>
      <c r="M5" s="17"/>
      <c r="N5" s="28"/>
      <c r="O5" s="28"/>
      <c r="P5" s="28"/>
      <c r="Q5" s="28"/>
      <c r="R5" s="28"/>
      <c r="S5" s="28"/>
      <c r="T5" s="28"/>
      <c r="U5" s="28"/>
      <c r="V5" s="28"/>
      <c r="W5" s="25"/>
      <c r="X5" s="27"/>
    </row>
    <row r="6" spans="1:24" ht="47.25">
      <c r="A6" s="18"/>
      <c r="B6" s="18"/>
      <c r="C6" s="7" t="s">
        <v>35</v>
      </c>
      <c r="D6" s="7" t="s">
        <v>36</v>
      </c>
      <c r="E6" s="7" t="s">
        <v>37</v>
      </c>
      <c r="F6" s="7" t="s">
        <v>35</v>
      </c>
      <c r="G6" s="7" t="s">
        <v>36</v>
      </c>
      <c r="H6" s="7" t="s">
        <v>37</v>
      </c>
      <c r="I6" s="7" t="s">
        <v>35</v>
      </c>
      <c r="J6" s="7" t="s">
        <v>36</v>
      </c>
      <c r="K6" s="7" t="s">
        <v>37</v>
      </c>
      <c r="L6" s="18"/>
      <c r="M6" s="18"/>
      <c r="N6" s="7">
        <v>1</v>
      </c>
      <c r="O6" s="7">
        <v>2</v>
      </c>
      <c r="P6" s="7">
        <v>3</v>
      </c>
      <c r="Q6" s="7">
        <v>1</v>
      </c>
      <c r="R6" s="7">
        <v>2</v>
      </c>
      <c r="S6" s="7">
        <v>3</v>
      </c>
      <c r="T6" s="7">
        <v>1</v>
      </c>
      <c r="U6" s="7">
        <v>2</v>
      </c>
      <c r="V6" s="7">
        <v>3</v>
      </c>
      <c r="W6" s="26"/>
      <c r="X6" s="27"/>
    </row>
    <row r="7" spans="1:24" ht="15.75">
      <c r="A7" s="7">
        <v>1</v>
      </c>
      <c r="B7" s="7">
        <v>2</v>
      </c>
      <c r="C7" s="7">
        <v>3</v>
      </c>
      <c r="D7" s="7">
        <v>4</v>
      </c>
      <c r="E7" s="7">
        <v>5</v>
      </c>
      <c r="F7" s="7">
        <v>6</v>
      </c>
      <c r="G7" s="7">
        <v>7</v>
      </c>
      <c r="H7" s="7">
        <v>8</v>
      </c>
      <c r="I7" s="7">
        <v>9</v>
      </c>
      <c r="J7" s="7">
        <v>10</v>
      </c>
      <c r="K7" s="7">
        <v>11</v>
      </c>
      <c r="L7" s="7">
        <v>15</v>
      </c>
      <c r="M7" s="7">
        <v>16</v>
      </c>
      <c r="N7" s="7">
        <v>17</v>
      </c>
      <c r="O7" s="7">
        <v>18</v>
      </c>
      <c r="P7" s="7">
        <v>19</v>
      </c>
      <c r="Q7" s="7">
        <v>20</v>
      </c>
      <c r="R7" s="7">
        <v>21</v>
      </c>
      <c r="S7" s="7">
        <v>22</v>
      </c>
      <c r="T7" s="7">
        <v>23</v>
      </c>
      <c r="U7" s="7">
        <v>24</v>
      </c>
      <c r="V7" s="7">
        <v>25</v>
      </c>
      <c r="W7" s="13">
        <v>26</v>
      </c>
      <c r="X7" s="13">
        <v>27</v>
      </c>
    </row>
    <row r="8" spans="1:24" ht="38.25">
      <c r="A8" s="8">
        <v>1</v>
      </c>
      <c r="B8" s="8" t="s">
        <v>43</v>
      </c>
      <c r="C8" s="8" t="s">
        <v>54</v>
      </c>
      <c r="D8" s="8">
        <v>110</v>
      </c>
      <c r="E8" s="8" t="s">
        <v>45</v>
      </c>
      <c r="F8" s="8" t="s">
        <v>49</v>
      </c>
      <c r="G8" s="8" t="s">
        <v>49</v>
      </c>
      <c r="H8" s="8" t="s">
        <v>49</v>
      </c>
      <c r="I8" s="8" t="s">
        <v>51</v>
      </c>
      <c r="J8" s="8">
        <v>50</v>
      </c>
      <c r="K8" s="8" t="s">
        <v>50</v>
      </c>
      <c r="L8" s="41" t="s">
        <v>56</v>
      </c>
      <c r="M8" s="64" t="s">
        <v>64</v>
      </c>
      <c r="N8" s="8">
        <v>1.4</v>
      </c>
      <c r="O8" s="8" t="s">
        <v>49</v>
      </c>
      <c r="P8" s="8">
        <v>1.3</v>
      </c>
      <c r="Q8" s="8">
        <v>73</v>
      </c>
      <c r="R8" s="8" t="s">
        <v>49</v>
      </c>
      <c r="S8" s="8">
        <v>58</v>
      </c>
      <c r="T8" s="40">
        <f>D8/10/Q8*N8</f>
        <v>0.21095890410958901</v>
      </c>
      <c r="U8" s="40" t="s">
        <v>49</v>
      </c>
      <c r="V8" s="40">
        <f t="shared" ref="V8:V17" si="0">J8/10/S8*P8</f>
        <v>0.1120689655172414</v>
      </c>
      <c r="W8" s="75">
        <v>46939</v>
      </c>
      <c r="X8" s="79" t="s">
        <v>73</v>
      </c>
    </row>
    <row r="9" spans="1:24" ht="38.25">
      <c r="A9" s="8">
        <v>2</v>
      </c>
      <c r="B9" s="8" t="s">
        <v>43</v>
      </c>
      <c r="C9" s="8" t="s">
        <v>54</v>
      </c>
      <c r="D9" s="8">
        <v>140</v>
      </c>
      <c r="E9" s="8" t="s">
        <v>45</v>
      </c>
      <c r="F9" s="8" t="s">
        <v>49</v>
      </c>
      <c r="G9" s="8" t="s">
        <v>49</v>
      </c>
      <c r="H9" s="8" t="s">
        <v>49</v>
      </c>
      <c r="I9" s="8" t="s">
        <v>51</v>
      </c>
      <c r="J9" s="8">
        <v>50</v>
      </c>
      <c r="K9" s="8" t="s">
        <v>50</v>
      </c>
      <c r="L9" s="54" t="s">
        <v>57</v>
      </c>
      <c r="M9" s="65" t="s">
        <v>65</v>
      </c>
      <c r="N9" s="8">
        <v>1.4</v>
      </c>
      <c r="O9" s="8" t="s">
        <v>49</v>
      </c>
      <c r="P9" s="8">
        <v>1.3</v>
      </c>
      <c r="Q9" s="8">
        <v>73</v>
      </c>
      <c r="R9" s="8" t="s">
        <v>49</v>
      </c>
      <c r="S9" s="8">
        <v>58</v>
      </c>
      <c r="T9" s="40">
        <f t="shared" ref="T9:T18" si="1">D9/10/Q9*N9</f>
        <v>0.26849315068493146</v>
      </c>
      <c r="U9" s="40" t="s">
        <v>49</v>
      </c>
      <c r="V9" s="40">
        <f t="shared" si="0"/>
        <v>0.1120689655172414</v>
      </c>
      <c r="W9" s="75">
        <v>46939</v>
      </c>
      <c r="X9" s="79" t="s">
        <v>73</v>
      </c>
    </row>
    <row r="10" spans="1:24" ht="63.75">
      <c r="A10" s="8">
        <v>3</v>
      </c>
      <c r="B10" s="8" t="s">
        <v>43</v>
      </c>
      <c r="C10" s="8" t="s">
        <v>55</v>
      </c>
      <c r="D10" s="8">
        <v>150</v>
      </c>
      <c r="E10" s="8" t="s">
        <v>45</v>
      </c>
      <c r="F10" s="8" t="s">
        <v>49</v>
      </c>
      <c r="G10" s="8" t="s">
        <v>49</v>
      </c>
      <c r="H10" s="8" t="s">
        <v>49</v>
      </c>
      <c r="I10" s="8" t="s">
        <v>52</v>
      </c>
      <c r="J10" s="8">
        <v>150</v>
      </c>
      <c r="K10" s="8" t="s">
        <v>45</v>
      </c>
      <c r="L10" s="55" t="s">
        <v>58</v>
      </c>
      <c r="M10" s="66" t="s">
        <v>66</v>
      </c>
      <c r="N10" s="8">
        <v>1.45</v>
      </c>
      <c r="O10" s="8" t="s">
        <v>49</v>
      </c>
      <c r="P10" s="8">
        <v>1.45</v>
      </c>
      <c r="Q10" s="8">
        <v>90</v>
      </c>
      <c r="R10" s="8" t="s">
        <v>49</v>
      </c>
      <c r="S10" s="8">
        <v>90</v>
      </c>
      <c r="T10" s="40">
        <f t="shared" si="1"/>
        <v>0.24166666666666664</v>
      </c>
      <c r="U10" s="40" t="s">
        <v>49</v>
      </c>
      <c r="V10" s="40">
        <f t="shared" si="0"/>
        <v>0.24166666666666664</v>
      </c>
      <c r="W10" s="75">
        <v>47436</v>
      </c>
      <c r="X10" s="79" t="s">
        <v>74</v>
      </c>
    </row>
    <row r="11" spans="1:24" ht="15.75">
      <c r="A11" s="8">
        <v>4</v>
      </c>
      <c r="B11" s="8" t="s">
        <v>43</v>
      </c>
      <c r="C11" s="8" t="s">
        <v>52</v>
      </c>
      <c r="D11" s="8">
        <v>150</v>
      </c>
      <c r="E11" s="8" t="s">
        <v>45</v>
      </c>
      <c r="F11" s="8" t="s">
        <v>49</v>
      </c>
      <c r="G11" s="8" t="s">
        <v>49</v>
      </c>
      <c r="H11" s="8" t="s">
        <v>49</v>
      </c>
      <c r="I11" s="8" t="s">
        <v>52</v>
      </c>
      <c r="J11" s="8">
        <v>150</v>
      </c>
      <c r="K11" s="8" t="s">
        <v>45</v>
      </c>
      <c r="L11" s="56" t="s">
        <v>59</v>
      </c>
      <c r="M11" s="67" t="s">
        <v>67</v>
      </c>
      <c r="N11" s="8">
        <v>1.45</v>
      </c>
      <c r="O11" s="8" t="s">
        <v>49</v>
      </c>
      <c r="P11" s="8">
        <v>1.45</v>
      </c>
      <c r="Q11" s="8">
        <v>90</v>
      </c>
      <c r="R11" s="8" t="s">
        <v>49</v>
      </c>
      <c r="S11" s="8">
        <v>90</v>
      </c>
      <c r="T11" s="40">
        <f t="shared" si="1"/>
        <v>0.24166666666666664</v>
      </c>
      <c r="U11" s="40" t="s">
        <v>49</v>
      </c>
      <c r="V11" s="40">
        <f t="shared" si="0"/>
        <v>0.24166666666666664</v>
      </c>
      <c r="W11" s="75">
        <v>47414</v>
      </c>
      <c r="X11" s="79" t="s">
        <v>75</v>
      </c>
    </row>
    <row r="12" spans="1:24" ht="38.25">
      <c r="A12" s="8">
        <v>5</v>
      </c>
      <c r="B12" s="8" t="s">
        <v>43</v>
      </c>
      <c r="C12" s="8" t="s">
        <v>53</v>
      </c>
      <c r="D12" s="8">
        <v>140</v>
      </c>
      <c r="E12" s="8" t="s">
        <v>45</v>
      </c>
      <c r="F12" s="8" t="s">
        <v>49</v>
      </c>
      <c r="G12" s="8" t="s">
        <v>49</v>
      </c>
      <c r="H12" s="8" t="s">
        <v>49</v>
      </c>
      <c r="I12" s="8" t="s">
        <v>51</v>
      </c>
      <c r="J12" s="8">
        <v>60</v>
      </c>
      <c r="K12" s="8" t="s">
        <v>50</v>
      </c>
      <c r="L12" s="57" t="s">
        <v>60</v>
      </c>
      <c r="M12" s="68" t="s">
        <v>68</v>
      </c>
      <c r="N12" s="8">
        <v>1.5</v>
      </c>
      <c r="O12" s="8" t="s">
        <v>49</v>
      </c>
      <c r="P12" s="8">
        <v>1.3</v>
      </c>
      <c r="Q12" s="8">
        <v>85</v>
      </c>
      <c r="R12" s="8" t="s">
        <v>49</v>
      </c>
      <c r="S12" s="8">
        <v>58</v>
      </c>
      <c r="T12" s="40">
        <f t="shared" si="1"/>
        <v>0.24705882352941178</v>
      </c>
      <c r="U12" s="40" t="s">
        <v>49</v>
      </c>
      <c r="V12" s="40">
        <f t="shared" si="0"/>
        <v>0.13448275862068965</v>
      </c>
      <c r="W12" s="75">
        <v>47539</v>
      </c>
      <c r="X12" s="79" t="s">
        <v>73</v>
      </c>
    </row>
    <row r="13" spans="1:24" ht="15.75">
      <c r="A13" s="8">
        <v>6</v>
      </c>
      <c r="B13" s="8" t="s">
        <v>43</v>
      </c>
      <c r="C13" s="8" t="s">
        <v>53</v>
      </c>
      <c r="D13" s="8">
        <v>240</v>
      </c>
      <c r="E13" s="8" t="s">
        <v>45</v>
      </c>
      <c r="F13" s="8" t="s">
        <v>49</v>
      </c>
      <c r="G13" s="8" t="s">
        <v>49</v>
      </c>
      <c r="H13" s="8" t="s">
        <v>49</v>
      </c>
      <c r="I13" s="8" t="s">
        <v>51</v>
      </c>
      <c r="J13" s="8">
        <v>60</v>
      </c>
      <c r="K13" s="8" t="s">
        <v>50</v>
      </c>
      <c r="L13" s="58" t="s">
        <v>60</v>
      </c>
      <c r="M13" s="69" t="s">
        <v>69</v>
      </c>
      <c r="N13" s="8">
        <v>1.5</v>
      </c>
      <c r="O13" s="8" t="s">
        <v>49</v>
      </c>
      <c r="P13" s="8">
        <v>1.3</v>
      </c>
      <c r="Q13" s="8">
        <v>85</v>
      </c>
      <c r="R13" s="8" t="s">
        <v>49</v>
      </c>
      <c r="S13" s="8">
        <v>58</v>
      </c>
      <c r="T13" s="40">
        <f t="shared" si="1"/>
        <v>0.42352941176470588</v>
      </c>
      <c r="U13" s="40" t="s">
        <v>49</v>
      </c>
      <c r="V13" s="40">
        <f t="shared" si="0"/>
        <v>0.13448275862068965</v>
      </c>
      <c r="W13" s="75">
        <v>47529</v>
      </c>
      <c r="X13" s="79" t="s">
        <v>73</v>
      </c>
    </row>
    <row r="14" spans="1:24" ht="15.75">
      <c r="A14" s="8">
        <v>7</v>
      </c>
      <c r="B14" s="8" t="s">
        <v>43</v>
      </c>
      <c r="C14" s="8" t="s">
        <v>53</v>
      </c>
      <c r="D14" s="8">
        <v>500</v>
      </c>
      <c r="E14" s="8" t="s">
        <v>45</v>
      </c>
      <c r="F14" s="8" t="s">
        <v>49</v>
      </c>
      <c r="G14" s="8" t="s">
        <v>49</v>
      </c>
      <c r="H14" s="8" t="s">
        <v>49</v>
      </c>
      <c r="I14" s="8" t="s">
        <v>49</v>
      </c>
      <c r="J14" s="8" t="s">
        <v>49</v>
      </c>
      <c r="K14" s="8" t="s">
        <v>49</v>
      </c>
      <c r="L14" s="59" t="s">
        <v>61</v>
      </c>
      <c r="M14" s="70" t="s">
        <v>70</v>
      </c>
      <c r="N14" s="8">
        <v>1.5</v>
      </c>
      <c r="O14" s="8" t="s">
        <v>49</v>
      </c>
      <c r="P14" s="8" t="s">
        <v>49</v>
      </c>
      <c r="Q14" s="8">
        <v>85</v>
      </c>
      <c r="R14" s="8" t="s">
        <v>49</v>
      </c>
      <c r="S14" s="8" t="s">
        <v>49</v>
      </c>
      <c r="T14" s="40">
        <f t="shared" si="1"/>
        <v>0.88235294117647056</v>
      </c>
      <c r="U14" s="40" t="s">
        <v>49</v>
      </c>
      <c r="V14" s="40" t="s">
        <v>49</v>
      </c>
      <c r="W14" s="75">
        <v>47367</v>
      </c>
      <c r="X14" s="79" t="s">
        <v>76</v>
      </c>
    </row>
    <row r="15" spans="1:24" ht="15.75">
      <c r="A15" s="8">
        <v>8</v>
      </c>
      <c r="B15" s="8" t="s">
        <v>43</v>
      </c>
      <c r="C15" s="8" t="s">
        <v>53</v>
      </c>
      <c r="D15" s="8">
        <v>175</v>
      </c>
      <c r="E15" s="8" t="s">
        <v>45</v>
      </c>
      <c r="F15" s="8" t="s">
        <v>49</v>
      </c>
      <c r="G15" s="8" t="s">
        <v>49</v>
      </c>
      <c r="H15" s="8" t="s">
        <v>49</v>
      </c>
      <c r="I15" s="8" t="s">
        <v>53</v>
      </c>
      <c r="J15" s="8">
        <v>175</v>
      </c>
      <c r="K15" s="8" t="s">
        <v>45</v>
      </c>
      <c r="L15" s="60" t="s">
        <v>62</v>
      </c>
      <c r="M15" s="71" t="s">
        <v>67</v>
      </c>
      <c r="N15" s="8">
        <v>1.5</v>
      </c>
      <c r="O15" s="8" t="s">
        <v>49</v>
      </c>
      <c r="P15" s="8">
        <v>1.5</v>
      </c>
      <c r="Q15" s="8">
        <v>85</v>
      </c>
      <c r="R15" s="8" t="s">
        <v>49</v>
      </c>
      <c r="S15" s="8">
        <v>85</v>
      </c>
      <c r="T15" s="40">
        <f t="shared" si="1"/>
        <v>0.30882352941176472</v>
      </c>
      <c r="U15" s="40" t="s">
        <v>49</v>
      </c>
      <c r="V15" s="40">
        <f t="shared" si="0"/>
        <v>0.30882352941176472</v>
      </c>
      <c r="W15" s="75">
        <v>47414</v>
      </c>
      <c r="X15" s="79" t="s">
        <v>77</v>
      </c>
    </row>
    <row r="16" spans="1:24" ht="38.25">
      <c r="A16" s="8">
        <v>9</v>
      </c>
      <c r="B16" s="8" t="s">
        <v>43</v>
      </c>
      <c r="C16" s="8" t="s">
        <v>54</v>
      </c>
      <c r="D16" s="8">
        <v>180</v>
      </c>
      <c r="E16" s="8" t="s">
        <v>45</v>
      </c>
      <c r="F16" s="8" t="s">
        <v>49</v>
      </c>
      <c r="G16" s="8" t="s">
        <v>49</v>
      </c>
      <c r="H16" s="8" t="s">
        <v>49</v>
      </c>
      <c r="I16" s="8" t="s">
        <v>51</v>
      </c>
      <c r="J16" s="8">
        <v>60</v>
      </c>
      <c r="K16" s="8" t="s">
        <v>50</v>
      </c>
      <c r="L16" s="61" t="s">
        <v>63</v>
      </c>
      <c r="M16" s="72" t="s">
        <v>71</v>
      </c>
      <c r="N16" s="8">
        <v>1.4</v>
      </c>
      <c r="O16" s="8" t="s">
        <v>49</v>
      </c>
      <c r="P16" s="8">
        <v>1.3</v>
      </c>
      <c r="Q16" s="8">
        <v>73</v>
      </c>
      <c r="R16" s="8" t="s">
        <v>49</v>
      </c>
      <c r="S16" s="8">
        <v>58</v>
      </c>
      <c r="T16" s="40">
        <f t="shared" si="1"/>
        <v>0.34520547945205476</v>
      </c>
      <c r="U16" s="40" t="s">
        <v>49</v>
      </c>
      <c r="V16" s="40">
        <f t="shared" si="0"/>
        <v>0.13448275862068965</v>
      </c>
      <c r="W16" s="75">
        <v>47367</v>
      </c>
      <c r="X16" s="79" t="s">
        <v>73</v>
      </c>
    </row>
    <row r="17" spans="1:24" ht="38.25">
      <c r="A17" s="8">
        <v>10</v>
      </c>
      <c r="B17" s="8" t="s">
        <v>43</v>
      </c>
      <c r="C17" s="8" t="s">
        <v>54</v>
      </c>
      <c r="D17" s="8">
        <v>160</v>
      </c>
      <c r="E17" s="8" t="s">
        <v>45</v>
      </c>
      <c r="F17" s="8" t="s">
        <v>49</v>
      </c>
      <c r="G17" s="8" t="s">
        <v>49</v>
      </c>
      <c r="H17" s="8" t="s">
        <v>49</v>
      </c>
      <c r="I17" s="8" t="s">
        <v>51</v>
      </c>
      <c r="J17" s="8">
        <v>60</v>
      </c>
      <c r="K17" s="8" t="s">
        <v>50</v>
      </c>
      <c r="L17" s="62" t="s">
        <v>63</v>
      </c>
      <c r="M17" s="73" t="s">
        <v>72</v>
      </c>
      <c r="N17" s="8">
        <v>1.4</v>
      </c>
      <c r="O17" s="8" t="s">
        <v>49</v>
      </c>
      <c r="P17" s="8">
        <v>1.3</v>
      </c>
      <c r="Q17" s="8">
        <v>73</v>
      </c>
      <c r="R17" s="8" t="s">
        <v>49</v>
      </c>
      <c r="S17" s="8">
        <v>58</v>
      </c>
      <c r="T17" s="40">
        <f t="shared" si="1"/>
        <v>0.30684931506849311</v>
      </c>
      <c r="U17" s="40" t="s">
        <v>49</v>
      </c>
      <c r="V17" s="40">
        <f t="shared" si="0"/>
        <v>0.13448275862068965</v>
      </c>
      <c r="W17" s="75">
        <v>47534</v>
      </c>
      <c r="X17" s="79" t="s">
        <v>73</v>
      </c>
    </row>
    <row r="18" spans="1:24" ht="38.25">
      <c r="A18" s="8">
        <v>11</v>
      </c>
      <c r="B18" s="8" t="s">
        <v>43</v>
      </c>
      <c r="C18" s="8" t="s">
        <v>44</v>
      </c>
      <c r="D18" s="8">
        <v>60</v>
      </c>
      <c r="E18" s="8" t="s">
        <v>46</v>
      </c>
      <c r="F18" s="8" t="s">
        <v>47</v>
      </c>
      <c r="G18" s="8">
        <v>160</v>
      </c>
      <c r="H18" s="8" t="s">
        <v>48</v>
      </c>
      <c r="I18" s="8" t="s">
        <v>51</v>
      </c>
      <c r="J18" s="8">
        <v>60</v>
      </c>
      <c r="K18" s="8" t="s">
        <v>50</v>
      </c>
      <c r="L18" s="63" t="s">
        <v>63</v>
      </c>
      <c r="M18" s="74" t="s">
        <v>72</v>
      </c>
      <c r="N18" s="8">
        <v>2.9</v>
      </c>
      <c r="O18" s="8">
        <v>1.6</v>
      </c>
      <c r="P18" s="8">
        <v>1.3</v>
      </c>
      <c r="Q18" s="8">
        <v>58</v>
      </c>
      <c r="R18" s="8">
        <v>73</v>
      </c>
      <c r="S18" s="8">
        <v>58</v>
      </c>
      <c r="T18" s="40">
        <f t="shared" si="1"/>
        <v>0.3</v>
      </c>
      <c r="U18" s="40">
        <f t="shared" ref="U9:V18" si="2">G18/10/R18*O18</f>
        <v>0.35068493150684932</v>
      </c>
      <c r="V18" s="40">
        <f>J18/10/S18*P18</f>
        <v>0.13448275862068965</v>
      </c>
      <c r="W18" s="75">
        <v>47531</v>
      </c>
      <c r="X18" s="79" t="s">
        <v>73</v>
      </c>
    </row>
    <row r="19" spans="1:24" s="78" customFormat="1" ht="15.75">
      <c r="A19" s="8">
        <v>12</v>
      </c>
      <c r="B19" s="8" t="s">
        <v>43</v>
      </c>
      <c r="C19" s="8" t="s">
        <v>53</v>
      </c>
      <c r="D19" s="8">
        <v>500</v>
      </c>
      <c r="E19" s="8" t="s">
        <v>45</v>
      </c>
      <c r="F19" s="8" t="s">
        <v>49</v>
      </c>
      <c r="G19" s="8" t="s">
        <v>49</v>
      </c>
      <c r="H19" s="8" t="s">
        <v>49</v>
      </c>
      <c r="I19" s="8" t="s">
        <v>49</v>
      </c>
      <c r="J19" s="8" t="s">
        <v>49</v>
      </c>
      <c r="K19" s="8" t="s">
        <v>49</v>
      </c>
      <c r="L19" s="76" t="s">
        <v>79</v>
      </c>
      <c r="M19" s="76" t="s">
        <v>78</v>
      </c>
      <c r="N19" s="8">
        <v>1.5</v>
      </c>
      <c r="O19" s="8" t="s">
        <v>49</v>
      </c>
      <c r="P19" s="8" t="s">
        <v>49</v>
      </c>
      <c r="Q19" s="8">
        <v>85</v>
      </c>
      <c r="R19" s="8" t="s">
        <v>49</v>
      </c>
      <c r="S19" s="8" t="s">
        <v>49</v>
      </c>
      <c r="T19" s="40">
        <f t="shared" ref="T19" si="3">D19/10/Q19*N19</f>
        <v>0.88235294117647056</v>
      </c>
      <c r="U19" s="40" t="s">
        <v>49</v>
      </c>
      <c r="V19" s="40" t="s">
        <v>49</v>
      </c>
      <c r="W19" s="77">
        <v>47203</v>
      </c>
      <c r="X19" s="79"/>
    </row>
    <row r="20" spans="1:24">
      <c r="C20" s="22" t="s">
        <v>42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24"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24"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24"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24"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24"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</sheetData>
  <mergeCells count="14">
    <mergeCell ref="C20:R25"/>
    <mergeCell ref="W4:W6"/>
    <mergeCell ref="X4:X6"/>
    <mergeCell ref="N4:P5"/>
    <mergeCell ref="Q4:S5"/>
    <mergeCell ref="T4:V5"/>
    <mergeCell ref="A4:A6"/>
    <mergeCell ref="B4:B6"/>
    <mergeCell ref="C4:K4"/>
    <mergeCell ref="L4:L6"/>
    <mergeCell ref="M4:M6"/>
    <mergeCell ref="C5:E5"/>
    <mergeCell ref="F5:H5"/>
    <mergeCell ref="I5:K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4"/>
  <sheetViews>
    <sheetView tabSelected="1" zoomScale="55" zoomScaleNormal="55" workbookViewId="0">
      <selection activeCell="Z18" sqref="Z18"/>
    </sheetView>
  </sheetViews>
  <sheetFormatPr defaultRowHeight="15"/>
  <cols>
    <col min="2" max="2" width="25.140625" customWidth="1"/>
    <col min="3" max="3" width="17.42578125" customWidth="1"/>
    <col min="4" max="4" width="21.5703125" customWidth="1"/>
    <col min="5" max="5" width="10.5703125" customWidth="1"/>
    <col min="6" max="6" width="20.5703125" style="1" customWidth="1"/>
    <col min="7" max="7" width="12.28515625" style="1" customWidth="1"/>
    <col min="8" max="8" width="21.140625" customWidth="1"/>
    <col min="9" max="9" width="11.5703125" customWidth="1"/>
    <col min="10" max="10" width="21.42578125" customWidth="1"/>
    <col min="11" max="11" width="10.85546875" customWidth="1"/>
    <col min="12" max="12" width="18.7109375" customWidth="1"/>
    <col min="13" max="13" width="12.28515625" style="2" customWidth="1"/>
    <col min="14" max="14" width="15.28515625" style="2" customWidth="1"/>
    <col min="15" max="15" width="14.7109375" style="2" customWidth="1"/>
    <col min="16" max="16" width="12.85546875" style="2" customWidth="1"/>
    <col min="17" max="17" width="12.28515625" style="1" customWidth="1"/>
    <col min="18" max="18" width="14.28515625" style="1" customWidth="1"/>
    <col min="19" max="19" width="13.42578125" style="1" customWidth="1"/>
    <col min="20" max="20" width="12.28515625" customWidth="1"/>
    <col min="21" max="21" width="12.28515625" style="4" customWidth="1"/>
    <col min="22" max="22" width="14.42578125" style="4" customWidth="1"/>
    <col min="23" max="23" width="14.28515625" style="4" customWidth="1"/>
    <col min="24" max="24" width="12.28515625" style="4" customWidth="1"/>
    <col min="25" max="25" width="12.28515625" customWidth="1"/>
    <col min="26" max="26" width="16.7109375" customWidth="1"/>
    <col min="27" max="27" width="16.140625" customWidth="1"/>
    <col min="28" max="28" width="16.85546875" customWidth="1"/>
    <col min="29" max="29" width="20.7109375" customWidth="1"/>
  </cols>
  <sheetData>
    <row r="1" spans="1:29" s="3" customFormat="1">
      <c r="M1" s="2"/>
      <c r="N1" s="2"/>
      <c r="O1" s="2"/>
      <c r="P1" s="2"/>
      <c r="U1" s="4"/>
      <c r="V1" s="4"/>
      <c r="W1" s="4"/>
      <c r="X1" s="4"/>
    </row>
    <row r="2" spans="1:29" s="3" customFormat="1" ht="15.75">
      <c r="A2" s="42"/>
      <c r="B2" s="47" t="s">
        <v>39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4"/>
      <c r="N2" s="44"/>
      <c r="O2" s="44"/>
      <c r="P2" s="44"/>
      <c r="Q2" s="42"/>
      <c r="R2" s="42"/>
      <c r="S2" s="42"/>
      <c r="T2" s="42"/>
      <c r="U2" s="51"/>
      <c r="V2" s="51"/>
      <c r="W2" s="51"/>
      <c r="X2" s="51"/>
      <c r="Y2" s="42"/>
      <c r="Z2" s="42"/>
      <c r="AA2" s="42"/>
      <c r="AB2" s="42"/>
      <c r="AC2" s="42"/>
    </row>
    <row r="3" spans="1:29" s="3" customFormat="1" ht="15.7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4"/>
      <c r="N3" s="44"/>
      <c r="O3" s="44"/>
      <c r="P3" s="44"/>
      <c r="Q3" s="42"/>
      <c r="R3" s="42"/>
      <c r="S3" s="42"/>
      <c r="T3" s="42"/>
      <c r="U3" s="51"/>
      <c r="V3" s="51"/>
      <c r="W3" s="51"/>
      <c r="X3" s="51"/>
      <c r="Y3" s="42"/>
      <c r="Z3" s="42"/>
      <c r="AA3" s="42"/>
      <c r="AB3" s="42"/>
      <c r="AC3" s="42"/>
    </row>
    <row r="4" spans="1:29" ht="20.100000000000001" customHeight="1">
      <c r="A4" s="29" t="s">
        <v>0</v>
      </c>
      <c r="B4" s="30" t="s">
        <v>18</v>
      </c>
      <c r="C4" s="30" t="s">
        <v>1</v>
      </c>
      <c r="D4" s="29" t="s">
        <v>2</v>
      </c>
      <c r="E4" s="29"/>
      <c r="F4" s="29" t="s">
        <v>3</v>
      </c>
      <c r="G4" s="29"/>
      <c r="H4" s="29"/>
      <c r="I4" s="29"/>
      <c r="J4" s="29" t="s">
        <v>4</v>
      </c>
      <c r="K4" s="29"/>
      <c r="L4" s="30" t="s">
        <v>40</v>
      </c>
      <c r="M4" s="30" t="s">
        <v>10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9" t="s">
        <v>22</v>
      </c>
      <c r="Z4" s="39" t="s">
        <v>23</v>
      </c>
      <c r="AA4" s="39" t="s">
        <v>24</v>
      </c>
      <c r="AB4" s="35" t="s">
        <v>41</v>
      </c>
      <c r="AC4" s="35" t="s">
        <v>25</v>
      </c>
    </row>
    <row r="5" spans="1:29" s="3" customFormat="1" ht="20.100000000000001" customHeight="1">
      <c r="A5" s="29"/>
      <c r="B5" s="30"/>
      <c r="C5" s="30"/>
      <c r="D5" s="33" t="s">
        <v>5</v>
      </c>
      <c r="E5" s="31" t="s">
        <v>17</v>
      </c>
      <c r="F5" s="31" t="s">
        <v>11</v>
      </c>
      <c r="G5" s="31" t="s">
        <v>17</v>
      </c>
      <c r="H5" s="31" t="s">
        <v>12</v>
      </c>
      <c r="I5" s="31" t="s">
        <v>17</v>
      </c>
      <c r="J5" s="33" t="s">
        <v>5</v>
      </c>
      <c r="K5" s="31" t="s">
        <v>17</v>
      </c>
      <c r="L5" s="30"/>
      <c r="M5" s="30" t="s">
        <v>19</v>
      </c>
      <c r="N5" s="30"/>
      <c r="O5" s="30"/>
      <c r="P5" s="30"/>
      <c r="Q5" s="30" t="s">
        <v>20</v>
      </c>
      <c r="R5" s="30"/>
      <c r="S5" s="30"/>
      <c r="T5" s="30"/>
      <c r="U5" s="30" t="s">
        <v>21</v>
      </c>
      <c r="V5" s="30"/>
      <c r="W5" s="30"/>
      <c r="X5" s="30"/>
      <c r="Y5" s="39"/>
      <c r="Z5" s="39"/>
      <c r="AA5" s="39"/>
      <c r="AB5" s="35"/>
      <c r="AC5" s="35"/>
    </row>
    <row r="6" spans="1:29" ht="45.75" customHeight="1">
      <c r="A6" s="29"/>
      <c r="B6" s="30"/>
      <c r="C6" s="30"/>
      <c r="D6" s="34"/>
      <c r="E6" s="32"/>
      <c r="F6" s="32"/>
      <c r="G6" s="32"/>
      <c r="H6" s="32"/>
      <c r="I6" s="32"/>
      <c r="J6" s="34"/>
      <c r="K6" s="32"/>
      <c r="L6" s="30"/>
      <c r="M6" s="9" t="s">
        <v>13</v>
      </c>
      <c r="N6" s="9" t="s">
        <v>14</v>
      </c>
      <c r="O6" s="9" t="s">
        <v>15</v>
      </c>
      <c r="P6" s="9" t="s">
        <v>16</v>
      </c>
      <c r="Q6" s="9" t="s">
        <v>13</v>
      </c>
      <c r="R6" s="9" t="s">
        <v>14</v>
      </c>
      <c r="S6" s="9" t="s">
        <v>15</v>
      </c>
      <c r="T6" s="9" t="s">
        <v>16</v>
      </c>
      <c r="U6" s="9" t="s">
        <v>13</v>
      </c>
      <c r="V6" s="9" t="s">
        <v>14</v>
      </c>
      <c r="W6" s="9" t="s">
        <v>15</v>
      </c>
      <c r="X6" s="9" t="s">
        <v>16</v>
      </c>
      <c r="Y6" s="39"/>
      <c r="Z6" s="39"/>
      <c r="AA6" s="39"/>
      <c r="AB6" s="35"/>
      <c r="AC6" s="35"/>
    </row>
    <row r="7" spans="1:29" ht="15.75">
      <c r="A7" s="14">
        <v>1</v>
      </c>
      <c r="B7" s="15">
        <v>2</v>
      </c>
      <c r="C7" s="14">
        <v>3</v>
      </c>
      <c r="D7" s="15">
        <v>4</v>
      </c>
      <c r="E7" s="14">
        <v>5</v>
      </c>
      <c r="F7" s="14">
        <v>6</v>
      </c>
      <c r="G7" s="14">
        <v>7</v>
      </c>
      <c r="H7" s="15">
        <v>8</v>
      </c>
      <c r="I7" s="14">
        <v>9</v>
      </c>
      <c r="J7" s="15">
        <v>10</v>
      </c>
      <c r="K7" s="15">
        <v>11</v>
      </c>
      <c r="L7" s="14">
        <v>12</v>
      </c>
      <c r="M7" s="15">
        <v>13</v>
      </c>
      <c r="N7" s="15">
        <v>14</v>
      </c>
      <c r="O7" s="14">
        <v>15</v>
      </c>
      <c r="P7" s="15">
        <v>16</v>
      </c>
      <c r="Q7" s="15">
        <v>17</v>
      </c>
      <c r="R7" s="14">
        <v>18</v>
      </c>
      <c r="S7" s="15">
        <v>19</v>
      </c>
      <c r="T7" s="15">
        <v>20</v>
      </c>
      <c r="U7" s="14">
        <v>21</v>
      </c>
      <c r="V7" s="15">
        <v>22</v>
      </c>
      <c r="W7" s="15">
        <v>23</v>
      </c>
      <c r="X7" s="14">
        <v>24</v>
      </c>
      <c r="Y7" s="15">
        <v>25</v>
      </c>
      <c r="Z7" s="14">
        <v>26</v>
      </c>
      <c r="AA7" s="15">
        <v>27</v>
      </c>
      <c r="AB7" s="14">
        <v>28</v>
      </c>
      <c r="AC7" s="15">
        <v>29</v>
      </c>
    </row>
    <row r="8" spans="1:29" s="5" customFormat="1" ht="37.35" customHeight="1">
      <c r="A8" s="10">
        <v>1</v>
      </c>
      <c r="B8" s="36" t="s">
        <v>80</v>
      </c>
      <c r="C8" s="43">
        <v>5.8</v>
      </c>
      <c r="D8" s="43" t="s">
        <v>54</v>
      </c>
      <c r="E8" s="45">
        <v>80</v>
      </c>
      <c r="F8" s="45" t="s">
        <v>49</v>
      </c>
      <c r="G8" s="45" t="s">
        <v>49</v>
      </c>
      <c r="H8" s="43" t="s">
        <v>81</v>
      </c>
      <c r="I8" s="45">
        <v>3700</v>
      </c>
      <c r="J8" s="43" t="s">
        <v>51</v>
      </c>
      <c r="K8" s="45">
        <v>50</v>
      </c>
      <c r="L8" s="43" t="s">
        <v>85</v>
      </c>
      <c r="M8" s="53">
        <v>1.4</v>
      </c>
      <c r="N8" s="11" t="s">
        <v>49</v>
      </c>
      <c r="O8" s="11" t="s">
        <v>88</v>
      </c>
      <c r="P8" s="53">
        <v>1.3</v>
      </c>
      <c r="Q8" s="11">
        <v>73</v>
      </c>
      <c r="R8" s="11" t="s">
        <v>49</v>
      </c>
      <c r="S8" s="11" t="s">
        <v>89</v>
      </c>
      <c r="T8" s="11">
        <v>58</v>
      </c>
      <c r="U8" s="53">
        <f>E8/10/Q8*M8</f>
        <v>0.15342465753424656</v>
      </c>
      <c r="V8" s="53" t="s">
        <v>49</v>
      </c>
      <c r="W8" s="53">
        <v>4.4400000000000004</v>
      </c>
      <c r="X8" s="53">
        <f>K8/10/T8*P8</f>
        <v>0.1120689655172414</v>
      </c>
      <c r="Y8" s="52">
        <v>46870</v>
      </c>
      <c r="Z8" s="52">
        <v>47965</v>
      </c>
      <c r="AA8" s="52">
        <v>47009</v>
      </c>
      <c r="AB8" s="48">
        <v>46666</v>
      </c>
      <c r="AC8" s="45" t="s">
        <v>8</v>
      </c>
    </row>
    <row r="9" spans="1:29" s="5" customFormat="1" ht="53.25" customHeight="1">
      <c r="A9" s="10">
        <v>2</v>
      </c>
      <c r="B9" s="37"/>
      <c r="C9" s="43">
        <v>5.8</v>
      </c>
      <c r="D9" s="43" t="s">
        <v>54</v>
      </c>
      <c r="E9" s="45">
        <v>80</v>
      </c>
      <c r="F9" s="45" t="s">
        <v>49</v>
      </c>
      <c r="G9" s="45" t="s">
        <v>49</v>
      </c>
      <c r="H9" s="43" t="s">
        <v>81</v>
      </c>
      <c r="I9" s="45">
        <v>4200</v>
      </c>
      <c r="J9" s="43" t="s">
        <v>51</v>
      </c>
      <c r="K9" s="45">
        <v>50</v>
      </c>
      <c r="L9" s="43" t="s">
        <v>86</v>
      </c>
      <c r="M9" s="53">
        <v>1.4</v>
      </c>
      <c r="N9" s="11" t="s">
        <v>49</v>
      </c>
      <c r="O9" s="11" t="s">
        <v>88</v>
      </c>
      <c r="P9" s="53">
        <v>1.3</v>
      </c>
      <c r="Q9" s="11">
        <v>73</v>
      </c>
      <c r="R9" s="11" t="s">
        <v>49</v>
      </c>
      <c r="S9" s="11" t="s">
        <v>89</v>
      </c>
      <c r="T9" s="11">
        <v>58</v>
      </c>
      <c r="U9" s="53">
        <f t="shared" ref="U9:U15" si="0">E9/10/Q9*M9</f>
        <v>0.15342465753424656</v>
      </c>
      <c r="V9" s="53" t="s">
        <v>49</v>
      </c>
      <c r="W9" s="53">
        <v>5.04</v>
      </c>
      <c r="X9" s="53">
        <f t="shared" ref="X9:X15" si="1">K9/10/T9*P9</f>
        <v>0.1120689655172414</v>
      </c>
      <c r="Y9" s="52">
        <v>46870</v>
      </c>
      <c r="Z9" s="50">
        <v>47965</v>
      </c>
      <c r="AA9" s="52">
        <v>47009</v>
      </c>
      <c r="AB9" s="48">
        <v>46666</v>
      </c>
      <c r="AC9" s="45" t="s">
        <v>8</v>
      </c>
    </row>
    <row r="10" spans="1:29" s="5" customFormat="1" ht="55.5" customHeight="1">
      <c r="A10" s="10">
        <v>3</v>
      </c>
      <c r="B10" s="37"/>
      <c r="C10" s="43">
        <v>7.2</v>
      </c>
      <c r="D10" s="43" t="s">
        <v>54</v>
      </c>
      <c r="E10" s="45">
        <v>80</v>
      </c>
      <c r="F10" s="45" t="s">
        <v>84</v>
      </c>
      <c r="G10" s="45">
        <v>3200</v>
      </c>
      <c r="H10" s="43" t="s">
        <v>81</v>
      </c>
      <c r="I10" s="45">
        <v>2570</v>
      </c>
      <c r="J10" s="43" t="s">
        <v>51</v>
      </c>
      <c r="K10" s="45">
        <v>50</v>
      </c>
      <c r="L10" s="43" t="s">
        <v>6</v>
      </c>
      <c r="M10" s="53">
        <v>1.4</v>
      </c>
      <c r="N10" s="11" t="s">
        <v>87</v>
      </c>
      <c r="O10" s="11" t="s">
        <v>88</v>
      </c>
      <c r="P10" s="53">
        <v>1.3</v>
      </c>
      <c r="Q10" s="11">
        <v>73</v>
      </c>
      <c r="R10" s="11" t="s">
        <v>89</v>
      </c>
      <c r="S10" s="11" t="s">
        <v>89</v>
      </c>
      <c r="T10" s="11">
        <v>58</v>
      </c>
      <c r="U10" s="53">
        <f t="shared" si="0"/>
        <v>0.15342465753424656</v>
      </c>
      <c r="V10" s="53">
        <v>3.84</v>
      </c>
      <c r="W10" s="53">
        <v>3.0839999999999996</v>
      </c>
      <c r="X10" s="53">
        <f t="shared" si="1"/>
        <v>0.1120689655172414</v>
      </c>
      <c r="Y10" s="52">
        <v>46870</v>
      </c>
      <c r="Z10" s="52">
        <v>46446</v>
      </c>
      <c r="AA10" s="52">
        <v>47009</v>
      </c>
      <c r="AB10" s="48">
        <v>46459</v>
      </c>
      <c r="AC10" s="45" t="s">
        <v>9</v>
      </c>
    </row>
    <row r="11" spans="1:29" s="5" customFormat="1" ht="68.25" customHeight="1">
      <c r="A11" s="10">
        <v>4</v>
      </c>
      <c r="B11" s="37"/>
      <c r="C11" s="43">
        <v>7.2</v>
      </c>
      <c r="D11" s="43" t="s">
        <v>54</v>
      </c>
      <c r="E11" s="45">
        <v>80</v>
      </c>
      <c r="F11" s="45" t="s">
        <v>84</v>
      </c>
      <c r="G11" s="45">
        <v>3000</v>
      </c>
      <c r="H11" s="43" t="s">
        <v>81</v>
      </c>
      <c r="I11" s="45">
        <v>4100</v>
      </c>
      <c r="J11" s="43" t="s">
        <v>51</v>
      </c>
      <c r="K11" s="45">
        <v>50</v>
      </c>
      <c r="L11" s="43" t="s">
        <v>7</v>
      </c>
      <c r="M11" s="53">
        <v>1.4</v>
      </c>
      <c r="N11" s="11" t="s">
        <v>87</v>
      </c>
      <c r="O11" s="11" t="s">
        <v>88</v>
      </c>
      <c r="P11" s="53">
        <v>1.3</v>
      </c>
      <c r="Q11" s="11">
        <v>73</v>
      </c>
      <c r="R11" s="11" t="s">
        <v>89</v>
      </c>
      <c r="S11" s="11" t="s">
        <v>89</v>
      </c>
      <c r="T11" s="11">
        <v>58</v>
      </c>
      <c r="U11" s="53">
        <f t="shared" si="0"/>
        <v>0.15342465753424656</v>
      </c>
      <c r="V11" s="53">
        <v>3.5999999999999996</v>
      </c>
      <c r="W11" s="53">
        <v>4.919999999999999</v>
      </c>
      <c r="X11" s="53">
        <f t="shared" si="1"/>
        <v>0.1120689655172414</v>
      </c>
      <c r="Y11" s="52">
        <v>46870</v>
      </c>
      <c r="Z11" s="52">
        <v>46446</v>
      </c>
      <c r="AA11" s="52">
        <v>47009</v>
      </c>
      <c r="AB11" s="48">
        <v>46459</v>
      </c>
      <c r="AC11" s="45" t="s">
        <v>9</v>
      </c>
    </row>
    <row r="12" spans="1:29" ht="60" customHeight="1">
      <c r="A12" s="10">
        <v>5</v>
      </c>
      <c r="B12" s="37"/>
      <c r="C12" s="43">
        <v>5.8</v>
      </c>
      <c r="D12" s="43" t="s">
        <v>82</v>
      </c>
      <c r="E12" s="45">
        <v>80</v>
      </c>
      <c r="F12" s="45" t="s">
        <v>49</v>
      </c>
      <c r="G12" s="45"/>
      <c r="H12" s="43" t="s">
        <v>81</v>
      </c>
      <c r="I12" s="45">
        <v>3700</v>
      </c>
      <c r="J12" s="43" t="s">
        <v>83</v>
      </c>
      <c r="K12" s="45">
        <v>50</v>
      </c>
      <c r="L12" s="43" t="s">
        <v>85</v>
      </c>
      <c r="M12" s="53">
        <v>1.5</v>
      </c>
      <c r="N12" s="11" t="s">
        <v>49</v>
      </c>
      <c r="O12" s="11" t="s">
        <v>88</v>
      </c>
      <c r="P12" s="53">
        <v>1.4</v>
      </c>
      <c r="Q12" s="11">
        <v>74</v>
      </c>
      <c r="R12" s="11" t="s">
        <v>49</v>
      </c>
      <c r="S12" s="11" t="s">
        <v>89</v>
      </c>
      <c r="T12" s="11">
        <v>63</v>
      </c>
      <c r="U12" s="53">
        <f t="shared" si="0"/>
        <v>0.16216216216216217</v>
      </c>
      <c r="V12" s="53" t="s">
        <v>49</v>
      </c>
      <c r="W12" s="53">
        <v>4.4400000000000004</v>
      </c>
      <c r="X12" s="53">
        <f t="shared" si="1"/>
        <v>0.11111111111111109</v>
      </c>
      <c r="Y12" s="52">
        <v>46800</v>
      </c>
      <c r="Z12" s="50">
        <v>47965</v>
      </c>
      <c r="AA12" s="52">
        <v>46803</v>
      </c>
      <c r="AB12" s="48">
        <v>46666</v>
      </c>
      <c r="AC12" s="45" t="s">
        <v>9</v>
      </c>
    </row>
    <row r="13" spans="1:29" ht="31.5">
      <c r="A13" s="10">
        <v>6</v>
      </c>
      <c r="B13" s="37"/>
      <c r="C13" s="43">
        <v>5.8</v>
      </c>
      <c r="D13" s="43" t="s">
        <v>82</v>
      </c>
      <c r="E13" s="45">
        <v>80</v>
      </c>
      <c r="F13" s="45"/>
      <c r="G13" s="45"/>
      <c r="H13" s="43" t="s">
        <v>81</v>
      </c>
      <c r="I13" s="45">
        <v>4200</v>
      </c>
      <c r="J13" s="43" t="s">
        <v>83</v>
      </c>
      <c r="K13" s="45">
        <v>50</v>
      </c>
      <c r="L13" s="43" t="s">
        <v>86</v>
      </c>
      <c r="M13" s="53">
        <v>1.5</v>
      </c>
      <c r="N13" s="11" t="s">
        <v>49</v>
      </c>
      <c r="O13" s="11" t="s">
        <v>88</v>
      </c>
      <c r="P13" s="53">
        <v>1.4</v>
      </c>
      <c r="Q13" s="11">
        <v>74</v>
      </c>
      <c r="R13" s="11" t="s">
        <v>49</v>
      </c>
      <c r="S13" s="11" t="s">
        <v>89</v>
      </c>
      <c r="T13" s="11">
        <v>63</v>
      </c>
      <c r="U13" s="53">
        <f t="shared" si="0"/>
        <v>0.16216216216216217</v>
      </c>
      <c r="V13" s="53" t="s">
        <v>49</v>
      </c>
      <c r="W13" s="53">
        <v>5.04</v>
      </c>
      <c r="X13" s="53">
        <f t="shared" si="1"/>
        <v>0.11111111111111109</v>
      </c>
      <c r="Y13" s="52">
        <v>46800</v>
      </c>
      <c r="Z13" s="50">
        <v>47965</v>
      </c>
      <c r="AA13" s="52">
        <v>46803</v>
      </c>
      <c r="AB13" s="48">
        <v>46666</v>
      </c>
      <c r="AC13" s="45" t="s">
        <v>9</v>
      </c>
    </row>
    <row r="14" spans="1:29" ht="31.5">
      <c r="A14" s="10">
        <v>7</v>
      </c>
      <c r="B14" s="37"/>
      <c r="C14" s="43">
        <v>5.8</v>
      </c>
      <c r="D14" s="43" t="s">
        <v>82</v>
      </c>
      <c r="E14" s="45">
        <v>80</v>
      </c>
      <c r="F14" s="45" t="s">
        <v>84</v>
      </c>
      <c r="G14" s="45">
        <v>3200</v>
      </c>
      <c r="H14" s="43" t="s">
        <v>81</v>
      </c>
      <c r="I14" s="45">
        <v>2570</v>
      </c>
      <c r="J14" s="43" t="s">
        <v>83</v>
      </c>
      <c r="K14" s="45">
        <v>50</v>
      </c>
      <c r="L14" s="43" t="s">
        <v>6</v>
      </c>
      <c r="M14" s="53">
        <v>1.5</v>
      </c>
      <c r="N14" s="11" t="s">
        <v>87</v>
      </c>
      <c r="O14" s="11" t="s">
        <v>88</v>
      </c>
      <c r="P14" s="53">
        <v>1.4</v>
      </c>
      <c r="Q14" s="11">
        <v>74</v>
      </c>
      <c r="R14" s="11" t="s">
        <v>89</v>
      </c>
      <c r="S14" s="11" t="s">
        <v>89</v>
      </c>
      <c r="T14" s="11">
        <v>63</v>
      </c>
      <c r="U14" s="53">
        <f t="shared" si="0"/>
        <v>0.16216216216216217</v>
      </c>
      <c r="V14" s="53">
        <v>3.84</v>
      </c>
      <c r="W14" s="53">
        <v>3.0839999999999996</v>
      </c>
      <c r="X14" s="53">
        <f t="shared" si="1"/>
        <v>0.11111111111111109</v>
      </c>
      <c r="Y14" s="52">
        <v>46792</v>
      </c>
      <c r="Z14" s="52">
        <v>46446</v>
      </c>
      <c r="AA14" s="52">
        <v>46655</v>
      </c>
      <c r="AB14" s="48">
        <v>46459</v>
      </c>
      <c r="AC14" s="45" t="s">
        <v>8</v>
      </c>
    </row>
    <row r="15" spans="1:29" ht="41.25" customHeight="1">
      <c r="A15" s="10">
        <v>8</v>
      </c>
      <c r="B15" s="38"/>
      <c r="C15" s="43">
        <v>5.8</v>
      </c>
      <c r="D15" s="43" t="s">
        <v>82</v>
      </c>
      <c r="E15" s="45">
        <v>80</v>
      </c>
      <c r="F15" s="45" t="s">
        <v>84</v>
      </c>
      <c r="G15" s="45">
        <v>3000</v>
      </c>
      <c r="H15" s="43" t="s">
        <v>81</v>
      </c>
      <c r="I15" s="45">
        <v>4100</v>
      </c>
      <c r="J15" s="43" t="s">
        <v>83</v>
      </c>
      <c r="K15" s="45">
        <v>50</v>
      </c>
      <c r="L15" s="43" t="s">
        <v>7</v>
      </c>
      <c r="M15" s="53">
        <v>1.5</v>
      </c>
      <c r="N15" s="11" t="s">
        <v>87</v>
      </c>
      <c r="O15" s="11" t="s">
        <v>88</v>
      </c>
      <c r="P15" s="53">
        <v>1.4</v>
      </c>
      <c r="Q15" s="11">
        <v>74</v>
      </c>
      <c r="R15" s="11" t="s">
        <v>89</v>
      </c>
      <c r="S15" s="11" t="s">
        <v>89</v>
      </c>
      <c r="T15" s="11">
        <v>63</v>
      </c>
      <c r="U15" s="53">
        <f t="shared" si="0"/>
        <v>0.16216216216216217</v>
      </c>
      <c r="V15" s="53">
        <v>3.5999999999999996</v>
      </c>
      <c r="W15" s="53">
        <v>4.919999999999999</v>
      </c>
      <c r="X15" s="53">
        <f t="shared" si="1"/>
        <v>0.11111111111111109</v>
      </c>
      <c r="Y15" s="52">
        <v>46792</v>
      </c>
      <c r="Z15" s="52">
        <v>46446</v>
      </c>
      <c r="AA15" s="52">
        <v>46655</v>
      </c>
      <c r="AB15" s="48">
        <v>46459</v>
      </c>
      <c r="AC15" s="45" t="s">
        <v>8</v>
      </c>
    </row>
    <row r="22" spans="14:16">
      <c r="N22" s="46"/>
      <c r="P22" s="4"/>
    </row>
    <row r="24" spans="14:16">
      <c r="O24" s="49"/>
    </row>
  </sheetData>
  <mergeCells count="25">
    <mergeCell ref="B8:B15"/>
    <mergeCell ref="AC4:AC6"/>
    <mergeCell ref="AB4:AB6"/>
    <mergeCell ref="F4:I4"/>
    <mergeCell ref="J4:K4"/>
    <mergeCell ref="Y4:Y6"/>
    <mergeCell ref="Z4:Z6"/>
    <mergeCell ref="AA4:AA6"/>
    <mergeCell ref="M4:X4"/>
    <mergeCell ref="L4:L6"/>
    <mergeCell ref="M5:P5"/>
    <mergeCell ref="Q5:T5"/>
    <mergeCell ref="U5:X5"/>
    <mergeCell ref="D5:D6"/>
    <mergeCell ref="E5:E6"/>
    <mergeCell ref="F5:F6"/>
    <mergeCell ref="A4:A6"/>
    <mergeCell ref="B4:B6"/>
    <mergeCell ref="C4:C6"/>
    <mergeCell ref="D4:E4"/>
    <mergeCell ref="K5:K6"/>
    <mergeCell ref="G5:G6"/>
    <mergeCell ref="H5:H6"/>
    <mergeCell ref="I5:I6"/>
    <mergeCell ref="J5:J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АКЗ</vt:lpstr>
      <vt:lpstr>ОГЗ</vt:lpstr>
    </vt:vector>
  </TitlesOfParts>
  <Company>IT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Бессонов Олег Анатольевич</dc:creator>
  <cp:lastModifiedBy>Евгений В.</cp:lastModifiedBy>
  <dcterms:created xsi:type="dcterms:W3CDTF">2025-09-17T09:09:16Z</dcterms:created>
  <dcterms:modified xsi:type="dcterms:W3CDTF">2026-09-03T08:21:18Z</dcterms:modified>
</cp:coreProperties>
</file>