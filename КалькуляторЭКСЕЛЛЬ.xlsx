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BAB6E6F3-02B1-449B-B466-17CABA8C6428}" xr6:coauthVersionLast="47" xr6:coauthVersionMax="47" xr10:uidLastSave="{00000000-0000-0000-0000-000000000000}"/>
  <bookViews>
    <workbookView xWindow="-120" yWindow="-120" windowWidth="29040" windowHeight="15840" xr2:uid="{3804C0B4-EC01-4659-8F8C-F53A4C201DDD}"/>
  </bookViews>
  <sheets>
    <sheet name="Баз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P24" i="1"/>
  <c r="Q23" i="1"/>
  <c r="R23" i="1" s="1"/>
  <c r="P23" i="1"/>
  <c r="P22" i="1"/>
  <c r="O22" i="1"/>
  <c r="O24" i="1" s="1"/>
  <c r="M22" i="1"/>
  <c r="J22" i="1"/>
  <c r="L22" i="1" s="1"/>
  <c r="Q22" i="1" s="1"/>
  <c r="H22" i="1"/>
  <c r="Q21" i="1"/>
  <c r="Q25" i="1" s="1"/>
  <c r="P21" i="1"/>
  <c r="P25" i="1" s="1"/>
  <c r="M21" i="1"/>
  <c r="L21" i="1"/>
  <c r="J21" i="1"/>
  <c r="H21" i="1"/>
  <c r="B21" i="1"/>
  <c r="O21" i="1" s="1"/>
  <c r="O23" i="1" s="1"/>
  <c r="I11" i="1"/>
  <c r="P9" i="1"/>
  <c r="P8" i="1"/>
  <c r="P11" i="1" s="1"/>
  <c r="O8" i="1"/>
  <c r="O10" i="1" s="1"/>
  <c r="N8" i="1"/>
  <c r="L8" i="1"/>
  <c r="Q8" i="1" s="1"/>
  <c r="J8" i="1"/>
  <c r="H8" i="1"/>
  <c r="U7" i="1"/>
  <c r="P7" i="1"/>
  <c r="N7" i="1"/>
  <c r="J7" i="1"/>
  <c r="O7" i="1" s="1"/>
  <c r="O9" i="1" s="1"/>
  <c r="H7" i="1"/>
  <c r="R8" i="1" l="1"/>
  <c r="Q10" i="1"/>
  <c r="R10" i="1" s="1"/>
  <c r="R22" i="1"/>
  <c r="Q24" i="1"/>
  <c r="R24" i="1" s="1"/>
  <c r="P10" i="1"/>
  <c r="L7" i="1"/>
  <c r="Q7" i="1" s="1"/>
  <c r="R21" i="1"/>
  <c r="R25" i="1" s="1"/>
  <c r="Q9" i="1" l="1"/>
  <c r="R9" i="1" s="1"/>
  <c r="R7" i="1"/>
  <c r="Q11" i="1"/>
  <c r="R11" i="1" l="1"/>
</calcChain>
</file>

<file path=xl/sharedStrings.xml><?xml version="1.0" encoding="utf-8"?>
<sst xmlns="http://schemas.openxmlformats.org/spreadsheetml/2006/main" count="92" uniqueCount="42">
  <si>
    <t>Если стоимость в КГ</t>
  </si>
  <si>
    <t>Площадь</t>
  </si>
  <si>
    <t>Система покрытия</t>
  </si>
  <si>
    <t>Связующее</t>
  </si>
  <si>
    <t>Цвет</t>
  </si>
  <si>
    <t>Плотность</t>
  </si>
  <si>
    <t>Сухой остаток</t>
  </si>
  <si>
    <t>Толщина пленки</t>
  </si>
  <si>
    <t>Укрывистость</t>
  </si>
  <si>
    <t>Цена с НДС за кг</t>
  </si>
  <si>
    <t>Цена с НДС за литр</t>
  </si>
  <si>
    <t>Теоретический расход</t>
  </si>
  <si>
    <t>Теоретический рассход</t>
  </si>
  <si>
    <t>Расход с учетом потерь</t>
  </si>
  <si>
    <t>Стоимость с учетом потерь %, с НДС</t>
  </si>
  <si>
    <t>мокрой</t>
  </si>
  <si>
    <t>сухой</t>
  </si>
  <si>
    <t>теоретич.</t>
  </si>
  <si>
    <t>потери</t>
  </si>
  <si>
    <t>практ</t>
  </si>
  <si>
    <t>м2</t>
  </si>
  <si>
    <t>слой</t>
  </si>
  <si>
    <t>RAL</t>
  </si>
  <si>
    <t>кг/л</t>
  </si>
  <si>
    <t>%</t>
  </si>
  <si>
    <t>мкм</t>
  </si>
  <si>
    <t>м2/л</t>
  </si>
  <si>
    <t>Руб</t>
  </si>
  <si>
    <t>л/м2</t>
  </si>
  <si>
    <t>кг/м2</t>
  </si>
  <si>
    <t>Руб/м2</t>
  </si>
  <si>
    <t>Грунт-Эмаль Blank Universal</t>
  </si>
  <si>
    <t>Эпоксид</t>
  </si>
  <si>
    <t>-</t>
  </si>
  <si>
    <t>Эмаль Blank Finish</t>
  </si>
  <si>
    <t>Полиуретан</t>
  </si>
  <si>
    <t>Разбавитель  для грунта %</t>
  </si>
  <si>
    <t>Растовритель  для эмали %</t>
  </si>
  <si>
    <t>Толщина покрытия (мкм)</t>
  </si>
  <si>
    <t>Общее количество ЛКМ</t>
  </si>
  <si>
    <t>Если стоимость в литрах</t>
  </si>
  <si>
    <t xml:space="preserve">Система АКЗ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</si>
</sst>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2"/>
      <name val="Cambria"/>
      <family val="1"/>
      <charset val="204"/>
    </font>
    <font>
      <sz val="12"/>
      <name val="Times New Roman"/>
      <family val="1"/>
      <charset val="204"/>
    </font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3" fillId="2" borderId="1" xfId="1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2" fillId="0" borderId="1" xfId="1" applyFont="1" applyBorder="1" applyAlignment="1" applyProtection="1">
      <alignment horizontal="center" vertical="center" wrapText="1"/>
      <protection hidden="1"/>
    </xf>
    <xf numFmtId="0" fontId="3" fillId="0" borderId="1" xfId="1" applyFont="1" applyBorder="1" applyAlignment="1" applyProtection="1">
      <alignment horizontal="center" vertical="center" wrapText="1"/>
      <protection hidden="1"/>
    </xf>
    <xf numFmtId="0" fontId="2" fillId="3" borderId="1" xfId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1" applyFont="1" applyFill="1" applyBorder="1" applyAlignment="1" applyProtection="1">
      <alignment horizontal="center" vertical="center" wrapText="1"/>
      <protection locked="0"/>
    </xf>
    <xf numFmtId="1" fontId="3" fillId="3" borderId="1" xfId="1" applyNumberFormat="1" applyFont="1" applyFill="1" applyBorder="1" applyAlignment="1" applyProtection="1">
      <alignment horizontal="center" vertical="center" wrapText="1"/>
      <protection hidden="1"/>
    </xf>
    <xf numFmtId="164" fontId="2" fillId="3" borderId="1" xfId="1" applyNumberFormat="1" applyFont="1" applyFill="1" applyBorder="1" applyAlignment="1" applyProtection="1">
      <alignment horizontal="center" vertical="center" wrapText="1"/>
      <protection hidden="1"/>
    </xf>
    <xf numFmtId="2" fontId="2" fillId="3" borderId="1" xfId="1" applyNumberFormat="1" applyFont="1" applyFill="1" applyBorder="1" applyAlignment="1" applyProtection="1">
      <alignment horizontal="center" vertical="center" wrapText="1"/>
      <protection locked="0"/>
    </xf>
    <xf numFmtId="2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1" xfId="1" applyNumberFormat="1" applyFont="1" applyBorder="1" applyAlignment="1" applyProtection="1">
      <alignment horizontal="center" vertical="center" wrapText="1"/>
      <protection hidden="1"/>
    </xf>
    <xf numFmtId="2" fontId="3" fillId="0" borderId="1" xfId="1" applyNumberFormat="1" applyFont="1" applyBorder="1" applyAlignment="1" applyProtection="1">
      <alignment horizontal="center" vertical="center" wrapText="1"/>
      <protection hidden="1"/>
    </xf>
    <xf numFmtId="2" fontId="4" fillId="0" borderId="1" xfId="0" applyNumberFormat="1" applyFont="1" applyBorder="1" applyAlignment="1" applyProtection="1">
      <alignment horizontal="center" vertical="center"/>
      <protection hidden="1"/>
    </xf>
    <xf numFmtId="165" fontId="4" fillId="0" borderId="1" xfId="0" applyNumberFormat="1" applyFont="1" applyBorder="1" applyAlignment="1" applyProtection="1">
      <alignment horizontal="center" vertical="center"/>
      <protection hidden="1"/>
    </xf>
    <xf numFmtId="0" fontId="3" fillId="4" borderId="1" xfId="1" applyFont="1" applyFill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hidden="1"/>
    </xf>
    <xf numFmtId="165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1" xfId="1" applyFont="1" applyBorder="1" applyAlignment="1" applyProtection="1">
      <alignment horizontal="center" vertical="center" wrapText="1"/>
      <protection hidden="1"/>
    </xf>
    <xf numFmtId="2" fontId="2" fillId="0" borderId="1" xfId="1" applyNumberFormat="1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locked="0"/>
    </xf>
    <xf numFmtId="0" fontId="0" fillId="0" borderId="1" xfId="0" applyBorder="1" applyAlignment="1">
      <alignment horizontal="center"/>
    </xf>
    <xf numFmtId="0" fontId="2" fillId="5" borderId="1" xfId="1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1" applyFont="1" applyFill="1" applyBorder="1" applyAlignment="1" applyProtection="1">
      <alignment horizontal="center" vertical="center" wrapText="1"/>
      <protection locked="0"/>
    </xf>
    <xf numFmtId="1" fontId="3" fillId="5" borderId="1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1" xfId="1" applyNumberFormat="1" applyFont="1" applyBorder="1" applyAlignment="1" applyProtection="1">
      <alignment horizontal="center" vertical="center" wrapText="1"/>
      <protection hidden="1"/>
    </xf>
    <xf numFmtId="2" fontId="2" fillId="5" borderId="1" xfId="1" applyNumberFormat="1" applyFont="1" applyFill="1" applyBorder="1" applyAlignment="1" applyProtection="1">
      <alignment horizontal="center" vertical="center" wrapText="1"/>
      <protection locked="0"/>
    </xf>
    <xf numFmtId="2" fontId="3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3" fillId="7" borderId="1" xfId="1" applyFont="1" applyFill="1" applyBorder="1" applyAlignment="1" applyProtection="1">
      <alignment horizontal="center" vertical="center" wrapText="1"/>
      <protection locked="0"/>
    </xf>
    <xf numFmtId="0" fontId="3" fillId="6" borderId="1" xfId="1" applyFont="1" applyFill="1" applyBorder="1" applyAlignment="1" applyProtection="1">
      <alignment horizontal="center" vertical="center" wrapText="1"/>
      <protection locked="0"/>
    </xf>
    <xf numFmtId="1" fontId="3" fillId="6" borderId="1" xfId="1" applyNumberFormat="1" applyFont="1" applyFill="1" applyBorder="1" applyAlignment="1" applyProtection="1">
      <alignment horizontal="center" vertical="center" wrapText="1"/>
      <protection hidden="1"/>
    </xf>
    <xf numFmtId="0" fontId="2" fillId="6" borderId="1" xfId="1" applyFont="1" applyFill="1" applyBorder="1" applyAlignment="1" applyProtection="1">
      <alignment horizontal="center" vertical="center" wrapText="1"/>
      <protection locked="0"/>
    </xf>
    <xf numFmtId="2" fontId="3" fillId="6" borderId="1" xfId="1" applyNumberFormat="1" applyFont="1" applyFill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Обычный 4" xfId="1" xr:uid="{4C744D29-8E98-4F46-AAB2-AB6C6BAFA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115A-7684-4132-A2D8-EBF34A9FD97D}">
  <dimension ref="B1:U25"/>
  <sheetViews>
    <sheetView tabSelected="1" zoomScale="70" zoomScaleNormal="70" workbookViewId="0">
      <selection activeCell="G32" sqref="G32"/>
    </sheetView>
  </sheetViews>
  <sheetFormatPr defaultRowHeight="15" x14ac:dyDescent="0.25"/>
  <cols>
    <col min="2" max="2" width="13" customWidth="1"/>
    <col min="3" max="3" width="24.7109375" customWidth="1"/>
    <col min="4" max="4" width="14.140625" customWidth="1"/>
    <col min="6" max="6" width="12" customWidth="1"/>
    <col min="7" max="7" width="13.28515625" customWidth="1"/>
    <col min="8" max="8" width="9.140625" customWidth="1"/>
    <col min="9" max="9" width="14.5703125" customWidth="1"/>
    <col min="10" max="10" width="12.140625" customWidth="1"/>
    <col min="11" max="11" width="16.7109375" customWidth="1"/>
    <col min="12" max="12" width="9.140625" customWidth="1"/>
    <col min="13" max="13" width="10.7109375" customWidth="1"/>
    <col min="14" max="14" width="11.140625" customWidth="1"/>
    <col min="15" max="15" width="22.140625" customWidth="1"/>
    <col min="16" max="16" width="16.42578125" customWidth="1"/>
    <col min="17" max="17" width="18.7109375" customWidth="1"/>
    <col min="18" max="18" width="16.42578125" customWidth="1"/>
  </cols>
  <sheetData>
    <row r="1" spans="2:21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2:21" ht="30.75" customHeight="1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/>
      <c r="J3" s="2" t="s">
        <v>8</v>
      </c>
      <c r="K3" s="2"/>
      <c r="L3" s="2"/>
      <c r="M3" s="2" t="s">
        <v>9</v>
      </c>
      <c r="N3" s="3" t="s">
        <v>10</v>
      </c>
      <c r="O3" s="3" t="s">
        <v>11</v>
      </c>
      <c r="P3" s="3" t="s">
        <v>12</v>
      </c>
      <c r="Q3" s="3" t="s">
        <v>13</v>
      </c>
      <c r="R3" s="4" t="s">
        <v>14</v>
      </c>
    </row>
    <row r="4" spans="2:21" x14ac:dyDescent="0.25">
      <c r="B4" s="2"/>
      <c r="C4" s="2"/>
      <c r="D4" s="2"/>
      <c r="E4" s="2"/>
      <c r="F4" s="2"/>
      <c r="G4" s="2"/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2"/>
      <c r="N4" s="3"/>
      <c r="O4" s="3"/>
      <c r="P4" s="3"/>
      <c r="Q4" s="3"/>
      <c r="R4" s="4"/>
    </row>
    <row r="5" spans="2:21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4"/>
    </row>
    <row r="6" spans="2:21" ht="15.75" x14ac:dyDescent="0.25">
      <c r="B6" s="5" t="s">
        <v>20</v>
      </c>
      <c r="C6" s="5" t="s">
        <v>21</v>
      </c>
      <c r="D6" s="5"/>
      <c r="E6" s="5" t="s">
        <v>22</v>
      </c>
      <c r="F6" s="5" t="s">
        <v>23</v>
      </c>
      <c r="G6" s="5" t="s">
        <v>24</v>
      </c>
      <c r="H6" s="5" t="s">
        <v>25</v>
      </c>
      <c r="I6" s="5" t="s">
        <v>25</v>
      </c>
      <c r="J6" s="5" t="s">
        <v>26</v>
      </c>
      <c r="K6" s="5" t="s">
        <v>24</v>
      </c>
      <c r="L6" s="5" t="s">
        <v>26</v>
      </c>
      <c r="M6" s="5" t="s">
        <v>27</v>
      </c>
      <c r="N6" s="6" t="s">
        <v>27</v>
      </c>
      <c r="O6" s="6" t="s">
        <v>28</v>
      </c>
      <c r="P6" s="6" t="s">
        <v>29</v>
      </c>
      <c r="Q6" s="6" t="s">
        <v>29</v>
      </c>
      <c r="R6" s="5" t="s">
        <v>30</v>
      </c>
    </row>
    <row r="7" spans="2:21" ht="40.15" customHeight="1" x14ac:dyDescent="0.25">
      <c r="B7" s="7">
        <v>1</v>
      </c>
      <c r="C7" s="8" t="s">
        <v>31</v>
      </c>
      <c r="D7" s="8" t="s">
        <v>32</v>
      </c>
      <c r="E7" s="9" t="s">
        <v>33</v>
      </c>
      <c r="F7" s="9">
        <v>1.4</v>
      </c>
      <c r="G7" s="9">
        <v>73</v>
      </c>
      <c r="H7" s="10">
        <f>I7*100/G7</f>
        <v>273.97260273972603</v>
      </c>
      <c r="I7" s="9">
        <v>200</v>
      </c>
      <c r="J7" s="11">
        <f>1/(I7/(10*G7))</f>
        <v>3.6500000000000004</v>
      </c>
      <c r="K7" s="7">
        <v>0</v>
      </c>
      <c r="L7" s="11">
        <f>J7-(J7/100*K7)</f>
        <v>3.6500000000000004</v>
      </c>
      <c r="M7" s="12">
        <v>552</v>
      </c>
      <c r="N7" s="13">
        <f>M7*F7</f>
        <v>772.8</v>
      </c>
      <c r="O7" s="14">
        <f>B7/J7</f>
        <v>0.27397260273972601</v>
      </c>
      <c r="P7" s="15">
        <f>I7/10/G7*F7*B7</f>
        <v>0.38356164383561642</v>
      </c>
      <c r="Q7" s="16">
        <f>B7/L7*F7</f>
        <v>0.38356164383561642</v>
      </c>
      <c r="R7" s="17">
        <f>Q7*M7</f>
        <v>211.72602739726025</v>
      </c>
      <c r="U7">
        <f>200/10/73*1.4*1.67</f>
        <v>0.64054794520547942</v>
      </c>
    </row>
    <row r="8" spans="2:21" ht="29.25" customHeight="1" x14ac:dyDescent="0.25">
      <c r="B8" s="7">
        <v>1</v>
      </c>
      <c r="C8" s="8" t="s">
        <v>34</v>
      </c>
      <c r="D8" s="8" t="s">
        <v>35</v>
      </c>
      <c r="E8" s="18">
        <v>9003</v>
      </c>
      <c r="F8" s="9">
        <v>1.3</v>
      </c>
      <c r="G8" s="9">
        <v>58</v>
      </c>
      <c r="H8" s="10">
        <f>I8*100/G8</f>
        <v>172.41379310344828</v>
      </c>
      <c r="I8" s="7">
        <v>100</v>
      </c>
      <c r="J8" s="11">
        <f>1/(I8/(10*G8))</f>
        <v>5.8</v>
      </c>
      <c r="K8" s="7">
        <v>0</v>
      </c>
      <c r="L8" s="11">
        <f>J8-(J8/100*K8)</f>
        <v>5.8</v>
      </c>
      <c r="M8" s="12">
        <v>892</v>
      </c>
      <c r="N8" s="13">
        <f>M8*F8</f>
        <v>1159.6000000000001</v>
      </c>
      <c r="O8" s="14">
        <f>B8/J8</f>
        <v>0.17241379310344829</v>
      </c>
      <c r="P8" s="15">
        <f>I8/10/G8*F8*B8</f>
        <v>0.22413793103448279</v>
      </c>
      <c r="Q8" s="16">
        <f>B8/L8*F8</f>
        <v>0.22413793103448279</v>
      </c>
      <c r="R8" s="17">
        <f t="shared" ref="R8:R10" si="0">Q8*M8</f>
        <v>199.93103448275866</v>
      </c>
    </row>
    <row r="9" spans="2:21" ht="15.75" x14ac:dyDescent="0.25">
      <c r="B9" s="19" t="s">
        <v>36</v>
      </c>
      <c r="C9" s="19"/>
      <c r="D9" s="19"/>
      <c r="E9" s="19"/>
      <c r="F9" s="20">
        <v>0.9</v>
      </c>
      <c r="G9" s="19">
        <v>5</v>
      </c>
      <c r="H9" s="19"/>
      <c r="I9" s="19"/>
      <c r="J9" s="19"/>
      <c r="K9" s="19"/>
      <c r="L9" s="19"/>
      <c r="M9" s="21">
        <v>0</v>
      </c>
      <c r="N9" s="22"/>
      <c r="O9" s="23">
        <f>O7*(G9/100)</f>
        <v>1.3698630136986301E-2</v>
      </c>
      <c r="P9" s="14">
        <f>P7/100*G9</f>
        <v>1.9178082191780823E-2</v>
      </c>
      <c r="Q9" s="14">
        <f>Q7/100*G9</f>
        <v>1.9178082191780823E-2</v>
      </c>
      <c r="R9" s="17">
        <f t="shared" si="0"/>
        <v>0</v>
      </c>
    </row>
    <row r="10" spans="2:21" ht="15.75" x14ac:dyDescent="0.25">
      <c r="B10" s="19" t="s">
        <v>37</v>
      </c>
      <c r="C10" s="19"/>
      <c r="D10" s="19"/>
      <c r="E10" s="19"/>
      <c r="F10" s="20">
        <v>0.9</v>
      </c>
      <c r="G10" s="19">
        <v>5</v>
      </c>
      <c r="H10" s="19"/>
      <c r="I10" s="19"/>
      <c r="J10" s="19"/>
      <c r="K10" s="19"/>
      <c r="L10" s="19"/>
      <c r="M10" s="21">
        <v>0</v>
      </c>
      <c r="N10" s="22"/>
      <c r="O10" s="23">
        <f>O8*(G10/100)</f>
        <v>8.6206896551724154E-3</v>
      </c>
      <c r="P10" s="14">
        <f>P8/100*G10</f>
        <v>1.120689655172414E-2</v>
      </c>
      <c r="Q10" s="14">
        <f>Q8/100*G10</f>
        <v>1.120689655172414E-2</v>
      </c>
      <c r="R10" s="17">
        <f t="shared" si="0"/>
        <v>0</v>
      </c>
    </row>
    <row r="11" spans="2:21" ht="42" customHeight="1" x14ac:dyDescent="0.25">
      <c r="B11" s="5"/>
      <c r="C11" s="24" t="s">
        <v>38</v>
      </c>
      <c r="D11" s="24"/>
      <c r="E11" s="24"/>
      <c r="F11" s="24"/>
      <c r="G11" s="24"/>
      <c r="H11" s="24"/>
      <c r="I11" s="5">
        <f>SUM(I7:I8)</f>
        <v>300</v>
      </c>
      <c r="J11" s="24" t="s">
        <v>39</v>
      </c>
      <c r="K11" s="24"/>
      <c r="L11" s="24"/>
      <c r="M11" s="5"/>
      <c r="N11" s="5"/>
      <c r="O11" s="5"/>
      <c r="P11" s="25">
        <f>P7+P8</f>
        <v>0.60769957487009918</v>
      </c>
      <c r="Q11" s="16">
        <f>SUM(Q7,Q8)</f>
        <v>0.60769957487009918</v>
      </c>
      <c r="R11" s="17">
        <f>SUM(R7:R10)</f>
        <v>411.65706188001889</v>
      </c>
    </row>
    <row r="14" spans="2:21" x14ac:dyDescent="0.25">
      <c r="I14" s="26"/>
    </row>
    <row r="15" spans="2:21" x14ac:dyDescent="0.25">
      <c r="B15" s="1" t="s">
        <v>40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2:21" x14ac:dyDescent="0.25">
      <c r="B16" s="27" t="s">
        <v>41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2:18" ht="15.75" x14ac:dyDescent="0.25"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/>
      <c r="J17" s="2" t="s">
        <v>8</v>
      </c>
      <c r="K17" s="2"/>
      <c r="L17" s="2"/>
      <c r="M17" s="2" t="s">
        <v>9</v>
      </c>
      <c r="N17" s="3" t="s">
        <v>10</v>
      </c>
      <c r="O17" s="3" t="s">
        <v>11</v>
      </c>
      <c r="P17" s="3" t="s">
        <v>12</v>
      </c>
      <c r="Q17" s="3" t="s">
        <v>13</v>
      </c>
      <c r="R17" s="4" t="s">
        <v>14</v>
      </c>
    </row>
    <row r="18" spans="2:18" x14ac:dyDescent="0.25">
      <c r="B18" s="2"/>
      <c r="C18" s="2"/>
      <c r="D18" s="2"/>
      <c r="E18" s="2"/>
      <c r="F18" s="2"/>
      <c r="G18" s="2"/>
      <c r="H18" s="2" t="s">
        <v>15</v>
      </c>
      <c r="I18" s="2" t="s">
        <v>16</v>
      </c>
      <c r="J18" s="2" t="s">
        <v>17</v>
      </c>
      <c r="K18" s="2" t="s">
        <v>18</v>
      </c>
      <c r="L18" s="2" t="s">
        <v>19</v>
      </c>
      <c r="M18" s="2"/>
      <c r="N18" s="3"/>
      <c r="O18" s="3"/>
      <c r="P18" s="3"/>
      <c r="Q18" s="3"/>
      <c r="R18" s="4"/>
    </row>
    <row r="19" spans="2:18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3"/>
      <c r="Q19" s="3"/>
      <c r="R19" s="4"/>
    </row>
    <row r="20" spans="2:18" ht="15.75" x14ac:dyDescent="0.25">
      <c r="B20" s="5" t="s">
        <v>20</v>
      </c>
      <c r="C20" s="5" t="s">
        <v>21</v>
      </c>
      <c r="D20" s="5"/>
      <c r="E20" s="5" t="s">
        <v>22</v>
      </c>
      <c r="F20" s="5" t="s">
        <v>23</v>
      </c>
      <c r="G20" s="5" t="s">
        <v>24</v>
      </c>
      <c r="H20" s="5" t="s">
        <v>25</v>
      </c>
      <c r="I20" s="5" t="s">
        <v>25</v>
      </c>
      <c r="J20" s="5" t="s">
        <v>26</v>
      </c>
      <c r="K20" s="5" t="s">
        <v>24</v>
      </c>
      <c r="L20" s="5" t="s">
        <v>26</v>
      </c>
      <c r="M20" s="5" t="s">
        <v>27</v>
      </c>
      <c r="N20" s="6" t="s">
        <v>27</v>
      </c>
      <c r="O20" s="6" t="s">
        <v>28</v>
      </c>
      <c r="P20" s="6" t="s">
        <v>29</v>
      </c>
      <c r="Q20" s="6" t="s">
        <v>29</v>
      </c>
      <c r="R20" s="5" t="s">
        <v>30</v>
      </c>
    </row>
    <row r="21" spans="2:18" ht="31.5" x14ac:dyDescent="0.25">
      <c r="B21" s="28">
        <f>90*3</f>
        <v>270</v>
      </c>
      <c r="C21" s="29" t="s">
        <v>31</v>
      </c>
      <c r="D21" s="29" t="s">
        <v>32</v>
      </c>
      <c r="E21" s="30" t="s">
        <v>33</v>
      </c>
      <c r="F21" s="30">
        <v>1.4</v>
      </c>
      <c r="G21" s="30">
        <v>73</v>
      </c>
      <c r="H21" s="31">
        <f>I21*100/G21</f>
        <v>150.68493150684932</v>
      </c>
      <c r="I21" s="30">
        <v>110</v>
      </c>
      <c r="J21" s="32">
        <f>1/(I21/(10*G21))</f>
        <v>6.6363636363636367</v>
      </c>
      <c r="K21" s="28">
        <v>0</v>
      </c>
      <c r="L21" s="32">
        <f>J21-(J21/100*K21)</f>
        <v>6.6363636363636367</v>
      </c>
      <c r="M21" s="33">
        <f>N21/F21</f>
        <v>777</v>
      </c>
      <c r="N21" s="34">
        <v>1087.8</v>
      </c>
      <c r="O21" s="14">
        <f>B21/J21</f>
        <v>40.68493150684931</v>
      </c>
      <c r="P21" s="15">
        <f>I21/10/G21*F21*B21</f>
        <v>56.958904109589035</v>
      </c>
      <c r="Q21" s="16">
        <f>B21/L21*F21</f>
        <v>56.958904109589028</v>
      </c>
      <c r="R21" s="17">
        <f>Q21*M21</f>
        <v>44257.068493150677</v>
      </c>
    </row>
    <row r="22" spans="2:18" ht="15.75" x14ac:dyDescent="0.25">
      <c r="B22" s="28">
        <v>270</v>
      </c>
      <c r="C22" s="35" t="s">
        <v>34</v>
      </c>
      <c r="D22" s="35" t="s">
        <v>35</v>
      </c>
      <c r="E22" s="36" t="s">
        <v>33</v>
      </c>
      <c r="F22" s="37">
        <v>1.3</v>
      </c>
      <c r="G22" s="37">
        <v>58</v>
      </c>
      <c r="H22" s="38">
        <f>I22*100/G22</f>
        <v>103.44827586206897</v>
      </c>
      <c r="I22" s="39">
        <v>60</v>
      </c>
      <c r="J22" s="32">
        <f>1/(I22/(10*G22))</f>
        <v>9.6666666666666661</v>
      </c>
      <c r="K22" s="39">
        <v>0</v>
      </c>
      <c r="L22" s="32">
        <f>J22-(J22/100*K22)</f>
        <v>9.6666666666666661</v>
      </c>
      <c r="M22" s="33">
        <f>N22/F22</f>
        <v>888</v>
      </c>
      <c r="N22" s="40">
        <v>1154.4000000000001</v>
      </c>
      <c r="O22" s="14">
        <f>B22/J22</f>
        <v>27.931034482758623</v>
      </c>
      <c r="P22" s="15">
        <f>I22/10/G22*F22*B22</f>
        <v>36.310344827586206</v>
      </c>
      <c r="Q22" s="16">
        <f>B22/L22*F22</f>
        <v>36.310344827586214</v>
      </c>
      <c r="R22" s="17">
        <f t="shared" ref="R22:R24" si="1">Q22*M22</f>
        <v>32243.586206896558</v>
      </c>
    </row>
    <row r="23" spans="2:18" ht="15.75" x14ac:dyDescent="0.25">
      <c r="B23" s="19" t="s">
        <v>36</v>
      </c>
      <c r="C23" s="19"/>
      <c r="D23" s="19"/>
      <c r="E23" s="19"/>
      <c r="F23" s="20">
        <v>0.9</v>
      </c>
      <c r="G23" s="19">
        <v>5</v>
      </c>
      <c r="H23" s="19"/>
      <c r="I23" s="19"/>
      <c r="J23" s="19"/>
      <c r="K23" s="19"/>
      <c r="L23" s="19"/>
      <c r="M23" s="21">
        <v>500</v>
      </c>
      <c r="N23" s="22"/>
      <c r="O23" s="23">
        <f>O21*(G23/100)</f>
        <v>2.0342465753424657</v>
      </c>
      <c r="P23" s="14">
        <f>P21/100*G23</f>
        <v>2.8479452054794518</v>
      </c>
      <c r="Q23" s="14">
        <f>Q21/100*G23</f>
        <v>2.8479452054794514</v>
      </c>
      <c r="R23" s="17">
        <f t="shared" si="1"/>
        <v>1423.9726027397257</v>
      </c>
    </row>
    <row r="24" spans="2:18" ht="15.75" x14ac:dyDescent="0.25">
      <c r="B24" s="19" t="s">
        <v>37</v>
      </c>
      <c r="C24" s="19"/>
      <c r="D24" s="19"/>
      <c r="E24" s="19"/>
      <c r="F24" s="20">
        <v>0.9</v>
      </c>
      <c r="G24" s="19">
        <v>5</v>
      </c>
      <c r="H24" s="19"/>
      <c r="I24" s="19"/>
      <c r="J24" s="19"/>
      <c r="K24" s="19"/>
      <c r="L24" s="19"/>
      <c r="M24" s="21">
        <v>330</v>
      </c>
      <c r="N24" s="22"/>
      <c r="O24" s="23">
        <f>O22*(G24/100)</f>
        <v>1.3965517241379313</v>
      </c>
      <c r="P24" s="14">
        <f>P22/100*G24</f>
        <v>1.8155172413793101</v>
      </c>
      <c r="Q24" s="14">
        <f>Q22/100*G24</f>
        <v>1.8155172413793108</v>
      </c>
      <c r="R24" s="17">
        <f t="shared" si="1"/>
        <v>599.12068965517255</v>
      </c>
    </row>
    <row r="25" spans="2:18" ht="15.75" x14ac:dyDescent="0.25">
      <c r="B25" s="5"/>
      <c r="C25" s="24" t="s">
        <v>38</v>
      </c>
      <c r="D25" s="24"/>
      <c r="E25" s="24"/>
      <c r="F25" s="24"/>
      <c r="G25" s="24"/>
      <c r="H25" s="24"/>
      <c r="I25" s="5">
        <f>SUM(I21:I22)</f>
        <v>170</v>
      </c>
      <c r="J25" s="24" t="s">
        <v>39</v>
      </c>
      <c r="K25" s="24"/>
      <c r="L25" s="24"/>
      <c r="M25" s="5"/>
      <c r="N25" s="5"/>
      <c r="O25" s="5"/>
      <c r="P25" s="25">
        <f>P21+P22</f>
        <v>93.269248937175234</v>
      </c>
      <c r="Q25" s="16">
        <f>SUM(Q21,Q22)</f>
        <v>93.269248937175234</v>
      </c>
      <c r="R25" s="17">
        <f>SUM(R21:R24)</f>
        <v>78523.747992442135</v>
      </c>
    </row>
  </sheetData>
  <sheetProtection selectLockedCells="1"/>
  <protectedRanges>
    <protectedRange sqref="B9:B10 I7:I8 K7:K8 N7:N8 M7:M9 M97 C21:C22 B23:B24 E21:G22 I21:I22 K21:K22 N21:N22 M21:M23 C7:C8 E7:G8" name="Диапазон1"/>
  </protectedRanges>
  <mergeCells count="53">
    <mergeCell ref="B24:E24"/>
    <mergeCell ref="G24:L24"/>
    <mergeCell ref="C25:H25"/>
    <mergeCell ref="J25:L25"/>
    <mergeCell ref="H18:H19"/>
    <mergeCell ref="I18:I19"/>
    <mergeCell ref="J18:J19"/>
    <mergeCell ref="K18:K19"/>
    <mergeCell ref="L18:L19"/>
    <mergeCell ref="B23:E23"/>
    <mergeCell ref="G23:L23"/>
    <mergeCell ref="M17:M19"/>
    <mergeCell ref="N17:N19"/>
    <mergeCell ref="O17:O19"/>
    <mergeCell ref="P17:P19"/>
    <mergeCell ref="Q17:Q19"/>
    <mergeCell ref="R17:R19"/>
    <mergeCell ref="B15:R15"/>
    <mergeCell ref="B16:Q16"/>
    <mergeCell ref="B17:B19"/>
    <mergeCell ref="C17:C19"/>
    <mergeCell ref="D17:D19"/>
    <mergeCell ref="E17:E19"/>
    <mergeCell ref="F17:F19"/>
    <mergeCell ref="G17:G19"/>
    <mergeCell ref="H17:I17"/>
    <mergeCell ref="J17:L17"/>
    <mergeCell ref="B9:E9"/>
    <mergeCell ref="G9:L9"/>
    <mergeCell ref="B10:E10"/>
    <mergeCell ref="G10:L10"/>
    <mergeCell ref="C11:H11"/>
    <mergeCell ref="J11:L11"/>
    <mergeCell ref="N3:N5"/>
    <mergeCell ref="O3:O5"/>
    <mergeCell ref="P3:P5"/>
    <mergeCell ref="Q3:Q5"/>
    <mergeCell ref="R3:R5"/>
    <mergeCell ref="H4:H5"/>
    <mergeCell ref="I4:I5"/>
    <mergeCell ref="J4:J5"/>
    <mergeCell ref="K4:K5"/>
    <mergeCell ref="L4:L5"/>
    <mergeCell ref="B1:R1"/>
    <mergeCell ref="B3:B5"/>
    <mergeCell ref="C3:C5"/>
    <mergeCell ref="D3:D5"/>
    <mergeCell ref="E3:E5"/>
    <mergeCell ref="F3:F5"/>
    <mergeCell ref="G3:G5"/>
    <mergeCell ref="H3:I3"/>
    <mergeCell ref="J3:L3"/>
    <mergeCell ref="M3:M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В.</dc:creator>
  <cp:lastModifiedBy>Евгений В.</cp:lastModifiedBy>
  <dcterms:created xsi:type="dcterms:W3CDTF">2026-09-08T06:52:19Z</dcterms:created>
  <dcterms:modified xsi:type="dcterms:W3CDTF">2026-09-08T06:52:40Z</dcterms:modified>
</cp:coreProperties>
</file>